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30-Day\PromptCloud\"/>
    </mc:Choice>
  </mc:AlternateContent>
  <xr:revisionPtr revIDLastSave="0" documentId="13_ncr:1_{3233812A-5D66-4B31-92DB-125EA6EEA8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obsPikr Raw Data" sheetId="2" r:id="rId1"/>
    <sheet name="Hiring Velocity" sheetId="3" r:id="rId2"/>
    <sheet name="Strategic Focu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" l="1"/>
  <c r="E16" i="4"/>
  <c r="E17" i="4"/>
  <c r="E3" i="4"/>
  <c r="E8" i="4"/>
  <c r="E9" i="4"/>
  <c r="E18" i="4"/>
  <c r="E10" i="4"/>
  <c r="E4" i="4"/>
  <c r="E11" i="4"/>
  <c r="E19" i="4"/>
  <c r="E12" i="4"/>
  <c r="E5" i="4"/>
  <c r="E6" i="4"/>
  <c r="E20" i="4"/>
  <c r="E13" i="4"/>
  <c r="E14" i="4"/>
  <c r="E21" i="4"/>
  <c r="C3" i="4" a="1"/>
  <c r="C3" i="4" s="1"/>
  <c r="D3" i="4" s="1"/>
  <c r="C4" i="4" a="1"/>
  <c r="C4" i="4" s="1"/>
  <c r="D4" i="4" s="1"/>
  <c r="C5" i="4" a="1"/>
  <c r="C5" i="4" s="1"/>
  <c r="D5" i="4" s="1"/>
  <c r="C6" i="4" a="1"/>
  <c r="C6" i="4" s="1"/>
  <c r="D6" i="4" s="1"/>
  <c r="C7" i="4" a="1"/>
  <c r="C7" i="4" s="1"/>
  <c r="D7" i="4" s="1"/>
  <c r="C8" i="4" a="1"/>
  <c r="C8" i="4" s="1"/>
  <c r="D8" i="4" s="1"/>
  <c r="C9" i="4" a="1"/>
  <c r="C9" i="4" s="1"/>
  <c r="D9" i="4" s="1"/>
  <c r="C10" i="4" a="1"/>
  <c r="C10" i="4" s="1"/>
  <c r="D10" i="4" s="1"/>
  <c r="C11" i="4" a="1"/>
  <c r="C11" i="4" s="1"/>
  <c r="D11" i="4" s="1"/>
  <c r="C12" i="4" a="1"/>
  <c r="C12" i="4" s="1"/>
  <c r="D12" i="4" s="1"/>
  <c r="C13" i="4" a="1"/>
  <c r="C13" i="4" s="1"/>
  <c r="D13" i="4" s="1"/>
  <c r="C14" i="4" a="1"/>
  <c r="C14" i="4" s="1"/>
  <c r="D14" i="4" s="1"/>
  <c r="C15" i="4" a="1"/>
  <c r="C15" i="4" s="1"/>
  <c r="D15" i="4" s="1"/>
  <c r="C16" i="4" a="1"/>
  <c r="C16" i="4" s="1"/>
  <c r="D16" i="4" s="1"/>
  <c r="C17" i="4" a="1"/>
  <c r="C17" i="4" s="1"/>
  <c r="D17" i="4" s="1"/>
  <c r="C18" i="4" a="1"/>
  <c r="C18" i="4" s="1"/>
  <c r="D18" i="4" s="1"/>
  <c r="C19" i="4" a="1"/>
  <c r="C19" i="4" s="1"/>
  <c r="D19" i="4" s="1"/>
  <c r="C20" i="4" a="1"/>
  <c r="C20" i="4" s="1"/>
  <c r="D20" i="4" s="1"/>
  <c r="C21" i="4" a="1"/>
  <c r="C21" i="4" s="1"/>
  <c r="D21" i="4" s="1"/>
  <c r="A2" i="4" a="1"/>
  <c r="A2" i="4" s="1"/>
  <c r="E2" i="4" s="1"/>
  <c r="A2" i="3" a="1"/>
  <c r="A2" i="3" s="1"/>
  <c r="B2" i="3" s="1"/>
  <c r="F16" i="4" l="1"/>
  <c r="F13" i="4"/>
  <c r="F8" i="4"/>
  <c r="F17" i="4"/>
  <c r="F7" i="4"/>
  <c r="F12" i="4"/>
  <c r="F21" i="4"/>
  <c r="F11" i="4"/>
  <c r="C2" i="4" a="1"/>
  <c r="C2" i="4" s="1"/>
  <c r="D2" i="4" s="1"/>
  <c r="F2" i="4" s="1"/>
  <c r="E15" i="4"/>
  <c r="F15" i="4" s="1"/>
  <c r="F5" i="4"/>
  <c r="F10" i="4"/>
  <c r="F3" i="4"/>
  <c r="F14" i="4"/>
  <c r="F20" i="4"/>
  <c r="F6" i="4"/>
  <c r="F4" i="4"/>
  <c r="F9" i="4"/>
  <c r="F18" i="4"/>
  <c r="B20" i="4"/>
  <c r="B5" i="4"/>
  <c r="B3" i="4"/>
  <c r="B15" i="4"/>
  <c r="B13" i="4"/>
  <c r="B2" i="4"/>
  <c r="B4" i="4"/>
  <c r="B17" i="4"/>
  <c r="B12" i="4"/>
  <c r="B21" i="4"/>
  <c r="B18" i="4"/>
  <c r="B16" i="4"/>
  <c r="B11" i="4"/>
  <c r="B6" i="4"/>
  <c r="B19" i="4"/>
  <c r="B14" i="4"/>
  <c r="B10" i="4"/>
  <c r="B9" i="4"/>
  <c r="B8" i="4"/>
  <c r="B7" i="4"/>
  <c r="B21" i="3"/>
  <c r="B5" i="3"/>
  <c r="C10" i="3"/>
  <c r="B20" i="3"/>
  <c r="B4" i="3"/>
  <c r="C9" i="3"/>
  <c r="B3" i="3"/>
  <c r="C8" i="3"/>
  <c r="B18" i="3"/>
  <c r="C7" i="3"/>
  <c r="B19" i="3"/>
  <c r="D19" i="3" s="1"/>
  <c r="E19" i="3" s="1"/>
  <c r="B17" i="3"/>
  <c r="C2" i="3"/>
  <c r="D2" i="3" s="1"/>
  <c r="E2" i="3" s="1"/>
  <c r="C6" i="3"/>
  <c r="B14" i="3"/>
  <c r="C19" i="3"/>
  <c r="C3" i="3"/>
  <c r="B13" i="3"/>
  <c r="C18" i="3"/>
  <c r="C21" i="3"/>
  <c r="C20" i="3"/>
  <c r="C17" i="3"/>
  <c r="B16" i="3"/>
  <c r="C4" i="3"/>
  <c r="B11" i="3"/>
  <c r="C16" i="3"/>
  <c r="C5" i="3"/>
  <c r="B15" i="3"/>
  <c r="B12" i="3"/>
  <c r="B10" i="3"/>
  <c r="D10" i="3" s="1"/>
  <c r="E10" i="3" s="1"/>
  <c r="C15" i="3"/>
  <c r="B9" i="3"/>
  <c r="D9" i="3" s="1"/>
  <c r="E9" i="3" s="1"/>
  <c r="C14" i="3"/>
  <c r="C13" i="3"/>
  <c r="B8" i="3"/>
  <c r="D8" i="3" s="1"/>
  <c r="E8" i="3" s="1"/>
  <c r="B7" i="3"/>
  <c r="D7" i="3" s="1"/>
  <c r="E7" i="3" s="1"/>
  <c r="C12" i="3"/>
  <c r="B6" i="3"/>
  <c r="D6" i="3" s="1"/>
  <c r="E6" i="3" s="1"/>
  <c r="C11" i="3"/>
  <c r="F19" i="4" l="1"/>
  <c r="D14" i="3"/>
  <c r="E14" i="3" s="1"/>
  <c r="D15" i="3"/>
  <c r="E15" i="3" s="1"/>
  <c r="D17" i="3"/>
  <c r="E17" i="3" s="1"/>
  <c r="D12" i="3"/>
  <c r="E12" i="3" s="1"/>
  <c r="D11" i="3"/>
  <c r="E11" i="3" s="1"/>
  <c r="D18" i="3"/>
  <c r="E18" i="3" s="1"/>
  <c r="D16" i="3"/>
  <c r="E16" i="3" s="1"/>
  <c r="D3" i="3"/>
  <c r="E3" i="3" s="1"/>
  <c r="D4" i="3"/>
  <c r="E4" i="3" s="1"/>
  <c r="D20" i="3"/>
  <c r="E20" i="3" s="1"/>
  <c r="D13" i="3"/>
  <c r="E13" i="3" s="1"/>
  <c r="D5" i="3"/>
  <c r="E5" i="3" s="1"/>
  <c r="D21" i="3"/>
  <c r="E2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<sst xmlns="http://schemas.openxmlformats.org/spreadsheetml/2006/main" count="1217" uniqueCount="346">
  <si>
    <t>Job ID</t>
  </si>
  <si>
    <t>Company</t>
  </si>
  <si>
    <t>Job Title</t>
  </si>
  <si>
    <t>Job Category</t>
  </si>
  <si>
    <t>Location</t>
  </si>
  <si>
    <t>Date Posted</t>
  </si>
  <si>
    <t>Skills</t>
  </si>
  <si>
    <t>Level</t>
  </si>
  <si>
    <t>Remote</t>
  </si>
  <si>
    <t>JP-001</t>
  </si>
  <si>
    <t>BharatPe</t>
  </si>
  <si>
    <t>QA Engineer – Mobile App</t>
  </si>
  <si>
    <t>Operations &amp; Support</t>
  </si>
  <si>
    <t>Pune</t>
  </si>
  <si>
    <t>Manual Testing, Bug Tracking, Postman, SQL</t>
  </si>
  <si>
    <t>Entry</t>
  </si>
  <si>
    <t>Yes</t>
  </si>
  <si>
    <t>JP-002</t>
  </si>
  <si>
    <t>Navi</t>
  </si>
  <si>
    <t>Manager – Analytics &amp; Insights</t>
  </si>
  <si>
    <t>Data Science</t>
  </si>
  <si>
    <t>Mumbai</t>
  </si>
  <si>
    <t>Python, SQL, Team Leadership, Stakeholder Mgmt</t>
  </si>
  <si>
    <t>Mid</t>
  </si>
  <si>
    <t>No</t>
  </si>
  <si>
    <t>JP-003</t>
  </si>
  <si>
    <t>Jupiter</t>
  </si>
  <si>
    <t>NLP Engineer – Chatbot &amp; Support</t>
  </si>
  <si>
    <t>Engineering (AI/ML)</t>
  </si>
  <si>
    <t>Transformers, BERT, spaCy, Python</t>
  </si>
  <si>
    <t>JP-004</t>
  </si>
  <si>
    <t>EarlySalary</t>
  </si>
  <si>
    <t>Associate PM – Onboarding</t>
  </si>
  <si>
    <t>Product Management</t>
  </si>
  <si>
    <t>Delhi NCR</t>
  </si>
  <si>
    <t>Wireframing, Agile, User Research, Communication</t>
  </si>
  <si>
    <t>JP-005</t>
  </si>
  <si>
    <t>Cred</t>
  </si>
  <si>
    <t>Product Lead – Payments</t>
  </si>
  <si>
    <t>Hyderabad</t>
  </si>
  <si>
    <t>Roadmap, Stakeholder Mgmt, Agile, Fintech API</t>
  </si>
  <si>
    <t>JP-006</t>
  </si>
  <si>
    <t>FamPay</t>
  </si>
  <si>
    <t>Accountant</t>
  </si>
  <si>
    <t>Tally, Excel, Financial Reporting, Taxation</t>
  </si>
  <si>
    <t>JP-007</t>
  </si>
  <si>
    <t>Razorpay</t>
  </si>
  <si>
    <t>Product Manager – Credit Stack</t>
  </si>
  <si>
    <t>SQL, APIs, System Design, Product Strategy</t>
  </si>
  <si>
    <t>JP-008</t>
  </si>
  <si>
    <t>Director – Platform Engineering</t>
  </si>
  <si>
    <t>Engineering Leadership</t>
  </si>
  <si>
    <t>Infrastructure, AWS, Cloud Architecture, Scalability</t>
  </si>
  <si>
    <t>Senior</t>
  </si>
  <si>
    <t>JP-009</t>
  </si>
  <si>
    <t>Growth Manager – User Acquisition</t>
  </si>
  <si>
    <t>Sales/GTM</t>
  </si>
  <si>
    <t>Bangalore</t>
  </si>
  <si>
    <t>Digital Marketing, Performance Marketing, SQL</t>
  </si>
  <si>
    <t>JP-010</t>
  </si>
  <si>
    <t>Senior ML Engineer – Fraud</t>
  </si>
  <si>
    <t>Java, Python, Scikit-learn, SQL</t>
  </si>
  <si>
    <t>JP-011</t>
  </si>
  <si>
    <t>ZestMoney</t>
  </si>
  <si>
    <t>QA Analyst – Payments API</t>
  </si>
  <si>
    <t>JP-012</t>
  </si>
  <si>
    <t>Lendingkart</t>
  </si>
  <si>
    <t>Data Science Manager – Analytics</t>
  </si>
  <si>
    <t>JP-013</t>
  </si>
  <si>
    <t>Regulatory Risk Lead</t>
  </si>
  <si>
    <t>Risk &amp; Compliance</t>
  </si>
  <si>
    <t>Risk Frameworks, Compliance Audit, RBI Reporting</t>
  </si>
  <si>
    <t>JP-014</t>
  </si>
  <si>
    <t>KreditBee</t>
  </si>
  <si>
    <t>KYC Verification Analyst</t>
  </si>
  <si>
    <t>Process Management, Excel, KYC Verification</t>
  </si>
  <si>
    <t>JP-015</t>
  </si>
  <si>
    <t>FlexiLoans</t>
  </si>
  <si>
    <t>Technical PM – Credit Infrastructure</t>
  </si>
  <si>
    <t>JP-016</t>
  </si>
  <si>
    <t>Head of Platform</t>
  </si>
  <si>
    <t>JP-017</t>
  </si>
  <si>
    <t>Account Manager – Merchants</t>
  </si>
  <si>
    <t>Account Management, CRM, Merchant Support</t>
  </si>
  <si>
    <t>JP-018</t>
  </si>
  <si>
    <t>JP-019</t>
  </si>
  <si>
    <t>VP Platform</t>
  </si>
  <si>
    <t>JP-020</t>
  </si>
  <si>
    <t>Simpl</t>
  </si>
  <si>
    <t>Technical PM – Platform</t>
  </si>
  <si>
    <t>JP-021</t>
  </si>
  <si>
    <t>JP-022</t>
  </si>
  <si>
    <t>Paytm</t>
  </si>
  <si>
    <t>Merchant Success Lead</t>
  </si>
  <si>
    <t>JP-023</t>
  </si>
  <si>
    <t>Applied Scientist – Fraud Detection</t>
  </si>
  <si>
    <t>Python, PyTorch, Anomaly Detection, Spark</t>
  </si>
  <si>
    <t>JP-024</t>
  </si>
  <si>
    <t>Open</t>
  </si>
  <si>
    <t>MLOps Lead – Credit Scoring</t>
  </si>
  <si>
    <t>Docker, Kubernetes, MLflow, AWS</t>
  </si>
  <si>
    <t>JP-025</t>
  </si>
  <si>
    <t>Pine Labs</t>
  </si>
  <si>
    <t>JP-026</t>
  </si>
  <si>
    <t>Lead – Credit Models</t>
  </si>
  <si>
    <t>Python, Statistical Modeling, SQL, R</t>
  </si>
  <si>
    <t>JP-027</t>
  </si>
  <si>
    <t>PhonePe</t>
  </si>
  <si>
    <t>Senior Data Scientist – Risk</t>
  </si>
  <si>
    <t>Python, SQL, Probability Models, Tableau</t>
  </si>
  <si>
    <t>JP-028</t>
  </si>
  <si>
    <t>Growth PM – Lending Funnel</t>
  </si>
  <si>
    <t>PRDs, A/B Testing, Mixpanel, User Research</t>
  </si>
  <si>
    <t>JP-029</t>
  </si>
  <si>
    <t>Slice</t>
  </si>
  <si>
    <t>Credit Assessment Analyst</t>
  </si>
  <si>
    <t>SQL, Credit Bureau Data, Financial Analysis, Excel</t>
  </si>
  <si>
    <t>JP-030</t>
  </si>
  <si>
    <t>AI Engineer – User Experience</t>
  </si>
  <si>
    <t>Python, TensorFlow, Feature Stores, Deployment</t>
  </si>
  <si>
    <t>JP-031</t>
  </si>
  <si>
    <t>Product Manager – Credit Acquisition</t>
  </si>
  <si>
    <t>JP-032</t>
  </si>
  <si>
    <t>AML Program Owner</t>
  </si>
  <si>
    <t>KYC/AML Tools, PMLA, RBI Circulars, Fraud Prevention</t>
  </si>
  <si>
    <t>JP-033</t>
  </si>
  <si>
    <t>Platform PM – Lending</t>
  </si>
  <si>
    <t>JP-034</t>
  </si>
  <si>
    <t>SDE II (AI/ML) – Risk Models</t>
  </si>
  <si>
    <t>JP-035</t>
  </si>
  <si>
    <t>Growth Lead – Lending Products</t>
  </si>
  <si>
    <t>JP-036</t>
  </si>
  <si>
    <t>Engineering Director</t>
  </si>
  <si>
    <t>Distributed Systems, Microservices, OKRs, Mentorship</t>
  </si>
  <si>
    <t>JP-037</t>
  </si>
  <si>
    <t>JP-038</t>
  </si>
  <si>
    <t>Staff Engineer (Fraud &amp; Risk)</t>
  </si>
  <si>
    <t>System Design, AI, Real-time Systems, Go</t>
  </si>
  <si>
    <t>JP-039</t>
  </si>
  <si>
    <t>JP-040</t>
  </si>
  <si>
    <t>JP-041</t>
  </si>
  <si>
    <t>Customer Success – Merchant Payments</t>
  </si>
  <si>
    <t>Zendesk, Intercom, Merchant Support, Communication</t>
  </si>
  <si>
    <t>JP-042</t>
  </si>
  <si>
    <t>JP-043</t>
  </si>
  <si>
    <t>Lead Data Scientist</t>
  </si>
  <si>
    <t>JP-044</t>
  </si>
  <si>
    <t>MoneyTap</t>
  </si>
  <si>
    <t>Support Engineer – Technical</t>
  </si>
  <si>
    <t>Troubleshooting, SQL, Zendesk, API Debugging</t>
  </si>
  <si>
    <t>JP-045</t>
  </si>
  <si>
    <t>JP-046</t>
  </si>
  <si>
    <t>JP-047</t>
  </si>
  <si>
    <t>JP-048</t>
  </si>
  <si>
    <t>Uni Cards</t>
  </si>
  <si>
    <t>JP-049</t>
  </si>
  <si>
    <t>JP-050</t>
  </si>
  <si>
    <t>JP-051</t>
  </si>
  <si>
    <t>JP-052</t>
  </si>
  <si>
    <t>JP-053</t>
  </si>
  <si>
    <t>Financial Crime Analyst</t>
  </si>
  <si>
    <t>JP-054</t>
  </si>
  <si>
    <t>JP-055</t>
  </si>
  <si>
    <t>AML Operations Lead</t>
  </si>
  <si>
    <t>JP-056</t>
  </si>
  <si>
    <t>JP-057</t>
  </si>
  <si>
    <t>Fraud Analytics Lead</t>
  </si>
  <si>
    <t>JP-058</t>
  </si>
  <si>
    <t>MobiKwik</t>
  </si>
  <si>
    <t>JP-059</t>
  </si>
  <si>
    <t>JP-060</t>
  </si>
  <si>
    <t>ML Engineer – Personalization</t>
  </si>
  <si>
    <t>JP-061</t>
  </si>
  <si>
    <t>Compliance Manager – RBI Reporting</t>
  </si>
  <si>
    <t>RBI Guidelines, PMLA, Audit, Regulatory Affairs</t>
  </si>
  <si>
    <t>JP-062</t>
  </si>
  <si>
    <t>Test Automation Lead</t>
  </si>
  <si>
    <t>JP-063</t>
  </si>
  <si>
    <t>Business Development Manager</t>
  </si>
  <si>
    <t>Partnerships, CRM, Sales Strategy, Negotiation</t>
  </si>
  <si>
    <t>JP-064</t>
  </si>
  <si>
    <t>JP-065</t>
  </si>
  <si>
    <t>Sales Manager – Merchant Lending</t>
  </si>
  <si>
    <t>JP-066</t>
  </si>
  <si>
    <t>Operations Associate – KYC</t>
  </si>
  <si>
    <t>JP-067</t>
  </si>
  <si>
    <t>JP-068</t>
  </si>
  <si>
    <t>JP-069</t>
  </si>
  <si>
    <t>Data Scientist – Underwriting</t>
  </si>
  <si>
    <t>Python, XGBoost, SQL, Feature Engineering</t>
  </si>
  <si>
    <t>JP-070</t>
  </si>
  <si>
    <t>JP-071</t>
  </si>
  <si>
    <t>Credit Risk Analyst</t>
  </si>
  <si>
    <t>JP-072</t>
  </si>
  <si>
    <t>JP-073</t>
  </si>
  <si>
    <t>PM – User Onboarding</t>
  </si>
  <si>
    <t>JP-074</t>
  </si>
  <si>
    <t>Risk Modeler – SME Lending</t>
  </si>
  <si>
    <t>SAS, SQL, Credit Bureau Data, IFRS9</t>
  </si>
  <si>
    <t>JP-075</t>
  </si>
  <si>
    <t>Risk Analytics Associate</t>
  </si>
  <si>
    <t>JP-076</t>
  </si>
  <si>
    <t>JP-077</t>
  </si>
  <si>
    <t>JP-078</t>
  </si>
  <si>
    <t>KYC Compliance Manager</t>
  </si>
  <si>
    <t>JP-079</t>
  </si>
  <si>
    <t>JP-080</t>
  </si>
  <si>
    <t>JP-081</t>
  </si>
  <si>
    <t>JP-082</t>
  </si>
  <si>
    <t>JP-083</t>
  </si>
  <si>
    <t>Merchant Relations Manager</t>
  </si>
  <si>
    <t>JP-084</t>
  </si>
  <si>
    <t>Account Executive – Enterprise</t>
  </si>
  <si>
    <t>B2B Sales, CRM, Presentation, Negotiation</t>
  </si>
  <si>
    <t>JP-085</t>
  </si>
  <si>
    <t>JP-086</t>
  </si>
  <si>
    <t>JP-087</t>
  </si>
  <si>
    <t>JP-088</t>
  </si>
  <si>
    <t>JP-089</t>
  </si>
  <si>
    <t>Sales Lead – SME Lending</t>
  </si>
  <si>
    <t>JP-090</t>
  </si>
  <si>
    <t>JP-091</t>
  </si>
  <si>
    <t>JP-092</t>
  </si>
  <si>
    <t>JP-093</t>
  </si>
  <si>
    <t>ML Engineer – Credit Scoring</t>
  </si>
  <si>
    <t>JP-094</t>
  </si>
  <si>
    <t>Onboarding Operations Associate</t>
  </si>
  <si>
    <t>JP-095</t>
  </si>
  <si>
    <t>Compliance Program Manager</t>
  </si>
  <si>
    <t>JP-096</t>
  </si>
  <si>
    <t>ML Engineer – Recommendations</t>
  </si>
  <si>
    <t>JP-097</t>
  </si>
  <si>
    <t>JP-098</t>
  </si>
  <si>
    <t>Principal Architect – FinTech</t>
  </si>
  <si>
    <t>Microservices, Event-Driven Architecture, Java, Go</t>
  </si>
  <si>
    <t>JP-099</t>
  </si>
  <si>
    <t>JP-100</t>
  </si>
  <si>
    <t>VP Engineering</t>
  </si>
  <si>
    <t>System Design, Scalability, Architecture, Team Leadership</t>
  </si>
  <si>
    <t>JP-101</t>
  </si>
  <si>
    <t>JP-102</t>
  </si>
  <si>
    <t>JP-103</t>
  </si>
  <si>
    <t>JP-104</t>
  </si>
  <si>
    <t>JP-105</t>
  </si>
  <si>
    <t>JP-106</t>
  </si>
  <si>
    <t>JP-107</t>
  </si>
  <si>
    <t>JP-108</t>
  </si>
  <si>
    <t>JP-109</t>
  </si>
  <si>
    <t>Product Analyst – Conversion Funnel</t>
  </si>
  <si>
    <t>JP-110</t>
  </si>
  <si>
    <t>JP-111</t>
  </si>
  <si>
    <t>Portfolio Risk Analyst</t>
  </si>
  <si>
    <t>JP-112</t>
  </si>
  <si>
    <t>JP-113</t>
  </si>
  <si>
    <t>JP-114</t>
  </si>
  <si>
    <t>Data Scientist – Personalization</t>
  </si>
  <si>
    <t>JP-115</t>
  </si>
  <si>
    <t>JP-116</t>
  </si>
  <si>
    <t>AI Engineer – Collections</t>
  </si>
  <si>
    <t>JP-117</t>
  </si>
  <si>
    <t>Customer Success Manager</t>
  </si>
  <si>
    <t>JP-118</t>
  </si>
  <si>
    <t>Product Manager – BNPL</t>
  </si>
  <si>
    <t>Market Research, Agile, PRDs, Stakeholder Mgmt</t>
  </si>
  <si>
    <t>JP-119</t>
  </si>
  <si>
    <t>JP-120</t>
  </si>
  <si>
    <t>JP-121</t>
  </si>
  <si>
    <t>JP-122</t>
  </si>
  <si>
    <t>JP-123</t>
  </si>
  <si>
    <t>JP-124</t>
  </si>
  <si>
    <t>JP-125</t>
  </si>
  <si>
    <t>JP-126</t>
  </si>
  <si>
    <t>JP-127</t>
  </si>
  <si>
    <t>Quality Analyst – Integration</t>
  </si>
  <si>
    <t>JP-128</t>
  </si>
  <si>
    <t>Merchant Acquisition Manager</t>
  </si>
  <si>
    <t>JP-129</t>
  </si>
  <si>
    <t>JP-130</t>
  </si>
  <si>
    <t>Job Description</t>
  </si>
  <si>
    <t>Conducting quality assurance for mobile app and API integrations</t>
  </si>
  <si>
    <t>Extracting insights from transaction data to inform product expansion strategy</t>
  </si>
  <si>
    <t>Creating NLP-driven chatbot solutions to enhance customer support and reduce operational costs</t>
  </si>
  <si>
    <t>Contributing to team initiatives and operational excellence</t>
  </si>
  <si>
    <t>Leading platform infrastructure development to support multi-product scaling</t>
  </si>
  <si>
    <t>Driving sales initiatives for existing product lines and customer segments</t>
  </si>
  <si>
    <t>Defining product roadmap for embedded finance features and API integrations</t>
  </si>
  <si>
    <t>Scaling platform architecture to support 10x growth in transaction volume</t>
  </si>
  <si>
    <t>Developing machine learning systems for real-time fraud detection and risk assessment</t>
  </si>
  <si>
    <t>Ensuring quality and reliability of payment processing systems through testing</t>
  </si>
  <si>
    <t>Building dashboards and providing data insights for operational teams</t>
  </si>
  <si>
    <t>Establishing regulatory compliance programs for new product launches and market entry</t>
  </si>
  <si>
    <t>Supporting day-to-day operations and product maintenance activities</t>
  </si>
  <si>
    <t>Leading engineering teams building microservices infrastructure for multi-product ecosystem</t>
  </si>
  <si>
    <t>Contributing to platform scaling and infrastructure optimization</t>
  </si>
  <si>
    <t>Maintaining AI-powered features for current product offerings</t>
  </si>
  <si>
    <t>Supporting product development initiatives for new market launches</t>
  </si>
  <si>
    <t>Analyzing user behavior patterns to drive personalization and product recommendations</t>
  </si>
  <si>
    <t>Monitoring risk frameworks and conducting audits for current lending portfolio</t>
  </si>
  <si>
    <t>Building AI-powered credit scoring models to scale automated lending in emerging markets</t>
  </si>
  <si>
    <t>Designing credit product features for underserved market segments and tier-3 expansion</t>
  </si>
  <si>
    <t>Designing ML models for personalized financial product recommendations and user engagement</t>
  </si>
  <si>
    <t>Building resilient infrastructure for high-availability payment processing at scale</t>
  </si>
  <si>
    <t>Managing compliance frameworks to support geographic expansion into regulated markets</t>
  </si>
  <si>
    <t>Managing merchant relationships and supporting business development activities</t>
  </si>
  <si>
    <t>Providing technical support and resolving customer issues for payment platform</t>
  </si>
  <si>
    <t>Leading risk assessment frameworks for AI-driven lending products</t>
  </si>
  <si>
    <t>Developing payment gateway enhancements for APAC market penetration</t>
  </si>
  <si>
    <t>Creating data pipelines to support real-time decision-making for credit operations</t>
  </si>
  <si>
    <t>Supporting product operations and roadmap execution for current offerings</t>
  </si>
  <si>
    <t>Managing KYC verification processes and customer onboarding operations</t>
  </si>
  <si>
    <t>Managing product features and enhancements for existing user base</t>
  </si>
  <si>
    <t>Developing growth experiments to optimize conversion funnels and reduce CAC</t>
  </si>
  <si>
    <t>Managing compliance programs and ensuring regulatory adherence for existing operations</t>
  </si>
  <si>
    <t>Driving technical strategy for platform modernization and API-first architecture</t>
  </si>
  <si>
    <t>Developing AML monitoring systems for cross-border payment processing</t>
  </si>
  <si>
    <t>Building lending funnel optimization strategies to drive user acquisition and conversion</t>
  </si>
  <si>
    <t>Developing machine learning models for existing credit and fraud detection systems</t>
  </si>
  <si>
    <t>Processing financial operations and reconciliation for merchant transactions</t>
  </si>
  <si>
    <t>Building risk analytics infrastructure for scaling embedded lending operations</t>
  </si>
  <si>
    <t>Analyzing transaction data and generating reports for business stakeholders</t>
  </si>
  <si>
    <t>Dec(2025) Jobs</t>
  </si>
  <si>
    <t>Spike Ratio</t>
  </si>
  <si>
    <t>Momentum Flag</t>
  </si>
  <si>
    <t>Total Jobs</t>
  </si>
  <si>
    <t>Weighted Role Score</t>
  </si>
  <si>
    <t>Strategic Focus (0–100)</t>
  </si>
  <si>
    <t>Category</t>
  </si>
  <si>
    <t>Weight</t>
  </si>
  <si>
    <t>Reason</t>
  </si>
  <si>
    <t>Strong signal of product + automation investment</t>
  </si>
  <si>
    <t>Risk models + personalization scaling</t>
  </si>
  <si>
    <t>Platform expansion and roadmap acceleration</t>
  </si>
  <si>
    <t>Regulatory scaling in fintech</t>
  </si>
  <si>
    <t>Monetization and distribution push</t>
  </si>
  <si>
    <t>Maintenance hiring, not growth signal</t>
  </si>
  <si>
    <t>Role Category Weight Mapping (Strategic Focus Model)</t>
  </si>
  <si>
    <t>Scaling signal</t>
  </si>
  <si>
    <t>Velocity Score</t>
  </si>
  <si>
    <t>High Momentum</t>
  </si>
  <si>
    <t>Moderate Growth</t>
  </si>
  <si>
    <t>Stable/Declining</t>
  </si>
  <si>
    <t>Velocity Score Mapping</t>
  </si>
  <si>
    <t>HMS Score (0–100)</t>
  </si>
  <si>
    <t>HMS=0.5×Velocity+0.5×StrategicFocus</t>
  </si>
  <si>
    <t>Hiring Momentum Score (HMS) Formula</t>
  </si>
  <si>
    <t>Jan(2026)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</si>
</sst>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1" fontId="0" fillId="0" borderId="0" xfId="0" applyNumberForma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yyyy/mm/dd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438D76-70E2-48BA-A74A-3D719FCC4111}" name="Table2" displayName="Table2" ref="A1:J131" totalsRowShown="0" headerRowDxfId="0" dataDxfId="1">
  <autoFilter ref="A1:J131" xr:uid="{39438D76-70E2-48BA-A74A-3D719FCC4111}"/>
  <tableColumns count="10">
    <tableColumn id="1" xr3:uid="{8336B3C8-F970-41AA-BF31-0349FE70609C}" name="Job ID" dataDxfId="11"/>
    <tableColumn id="2" xr3:uid="{A8003E11-1A34-429F-8625-AB9D8DD3C593}" name="Company" dataDxfId="10"/>
    <tableColumn id="3" xr3:uid="{E0048AC8-3F68-44DE-9157-2F61356601E2}" name="Job Title" dataDxfId="9"/>
    <tableColumn id="4" xr3:uid="{8DF62A7B-C48F-447F-B875-500DB13CF444}" name="Job Category" dataDxfId="8"/>
    <tableColumn id="5" xr3:uid="{B0018723-5BA7-4CBA-9BAF-8A9E67AA4C03}" name="Location" dataDxfId="7"/>
    <tableColumn id="6" xr3:uid="{E9644832-71EE-47CA-820D-8E4DF8ED2ADC}" name="Date Posted" dataDxfId="6"/>
    <tableColumn id="7" xr3:uid="{A068EDB8-26B5-410E-8DB7-2BD3FE64CC5A}" name="Skills" dataDxfId="5"/>
    <tableColumn id="8" xr3:uid="{028267BA-60BA-492C-8D50-B51F90EEBA7F}" name="Level" dataDxfId="4"/>
    <tableColumn id="9" xr3:uid="{1A9071EF-7EF4-417D-8627-5E610883825C}" name="Remote" dataDxfId="3"/>
    <tableColumn id="10" xr3:uid="{CFBDAF7A-49CC-4E59-B40F-953D6FADEEBE}" name="Job Descrip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7969-4395-483F-8DEA-753E5D2D5CD1}">
  <dimension ref="A1:J131"/>
  <sheetViews>
    <sheetView zoomScaleNormal="100" workbookViewId="0">
      <selection activeCell="A2" sqref="A2"/>
    </sheetView>
  </sheetViews>
  <sheetFormatPr defaultRowHeight="14.4" x14ac:dyDescent="0.3"/>
  <cols>
    <col min="1" max="1" width="11.21875" bestFit="1" customWidth="1"/>
    <col min="2" max="2" width="14.21875" bestFit="1" customWidth="1"/>
    <col min="3" max="3" width="34.33203125" bestFit="1" customWidth="1"/>
    <col min="4" max="4" width="19.77734375" bestFit="1" customWidth="1"/>
    <col min="5" max="5" width="13.33203125" bestFit="1" customWidth="1"/>
    <col min="6" max="6" width="16.88671875" style="8" bestFit="1" customWidth="1"/>
    <col min="7" max="7" width="48.109375" bestFit="1" customWidth="1"/>
    <col min="8" max="8" width="10.109375" bestFit="1" customWidth="1"/>
    <col min="9" max="9" width="12.6640625" bestFit="1" customWidth="1"/>
    <col min="10" max="10" width="78.21875" bestFit="1" customWidth="1"/>
    <col min="11" max="11" width="19.77734375" bestFit="1" customWidth="1"/>
  </cols>
  <sheetData>
    <row r="1" spans="1:10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278</v>
      </c>
    </row>
    <row r="2" spans="1:10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7">
        <v>46050</v>
      </c>
      <c r="G2" s="1" t="s">
        <v>14</v>
      </c>
      <c r="H2" s="1" t="s">
        <v>15</v>
      </c>
      <c r="I2" s="1" t="s">
        <v>16</v>
      </c>
      <c r="J2" s="3" t="s">
        <v>279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7">
        <v>46050</v>
      </c>
      <c r="G3" s="1" t="s">
        <v>22</v>
      </c>
      <c r="H3" s="1" t="s">
        <v>23</v>
      </c>
      <c r="I3" s="1" t="s">
        <v>24</v>
      </c>
      <c r="J3" s="3" t="s">
        <v>280</v>
      </c>
    </row>
    <row r="4" spans="1:10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13</v>
      </c>
      <c r="F4" s="7">
        <v>46049</v>
      </c>
      <c r="G4" s="1" t="s">
        <v>29</v>
      </c>
      <c r="H4" s="1" t="s">
        <v>23</v>
      </c>
      <c r="I4" s="1" t="s">
        <v>16</v>
      </c>
      <c r="J4" s="3" t="s">
        <v>281</v>
      </c>
    </row>
    <row r="5" spans="1:10" x14ac:dyDescent="0.3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7">
        <v>46048</v>
      </c>
      <c r="G5" s="1" t="s">
        <v>35</v>
      </c>
      <c r="H5" s="1" t="s">
        <v>15</v>
      </c>
      <c r="I5" s="1" t="s">
        <v>24</v>
      </c>
      <c r="J5" s="3" t="s">
        <v>282</v>
      </c>
    </row>
    <row r="6" spans="1:10" x14ac:dyDescent="0.3">
      <c r="A6" s="1" t="s">
        <v>36</v>
      </c>
      <c r="B6" s="1" t="s">
        <v>37</v>
      </c>
      <c r="C6" s="1" t="s">
        <v>38</v>
      </c>
      <c r="D6" s="1" t="s">
        <v>33</v>
      </c>
      <c r="E6" s="1" t="s">
        <v>39</v>
      </c>
      <c r="F6" s="7">
        <v>46048</v>
      </c>
      <c r="G6" s="1" t="s">
        <v>40</v>
      </c>
      <c r="H6" s="1" t="s">
        <v>23</v>
      </c>
      <c r="I6" s="1" t="s">
        <v>16</v>
      </c>
      <c r="J6" s="3" t="s">
        <v>283</v>
      </c>
    </row>
    <row r="7" spans="1:10" x14ac:dyDescent="0.3">
      <c r="A7" s="1" t="s">
        <v>41</v>
      </c>
      <c r="B7" s="1" t="s">
        <v>42</v>
      </c>
      <c r="C7" s="1" t="s">
        <v>43</v>
      </c>
      <c r="D7" s="1" t="s">
        <v>12</v>
      </c>
      <c r="E7" s="1" t="s">
        <v>13</v>
      </c>
      <c r="F7" s="7">
        <v>46048</v>
      </c>
      <c r="G7" s="1" t="s">
        <v>44</v>
      </c>
      <c r="H7" s="1" t="s">
        <v>23</v>
      </c>
      <c r="I7" s="1" t="s">
        <v>16</v>
      </c>
      <c r="J7" s="3" t="s">
        <v>284</v>
      </c>
    </row>
    <row r="8" spans="1:10" x14ac:dyDescent="0.3">
      <c r="A8" s="1" t="s">
        <v>45</v>
      </c>
      <c r="B8" s="1" t="s">
        <v>46</v>
      </c>
      <c r="C8" s="1" t="s">
        <v>47</v>
      </c>
      <c r="D8" s="1" t="s">
        <v>33</v>
      </c>
      <c r="E8" s="1" t="s">
        <v>21</v>
      </c>
      <c r="F8" s="7">
        <v>46048</v>
      </c>
      <c r="G8" s="1" t="s">
        <v>48</v>
      </c>
      <c r="H8" s="1" t="s">
        <v>23</v>
      </c>
      <c r="I8" s="1" t="s">
        <v>16</v>
      </c>
      <c r="J8" s="3" t="s">
        <v>285</v>
      </c>
    </row>
    <row r="9" spans="1:10" x14ac:dyDescent="0.3">
      <c r="A9" s="1" t="s">
        <v>49</v>
      </c>
      <c r="B9" s="1" t="s">
        <v>46</v>
      </c>
      <c r="C9" s="1" t="s">
        <v>50</v>
      </c>
      <c r="D9" s="1" t="s">
        <v>51</v>
      </c>
      <c r="E9" s="1" t="s">
        <v>21</v>
      </c>
      <c r="F9" s="7">
        <v>46047</v>
      </c>
      <c r="G9" s="1" t="s">
        <v>52</v>
      </c>
      <c r="H9" s="1" t="s">
        <v>53</v>
      </c>
      <c r="I9" s="1" t="s">
        <v>24</v>
      </c>
      <c r="J9" s="3" t="s">
        <v>286</v>
      </c>
    </row>
    <row r="10" spans="1:10" x14ac:dyDescent="0.3">
      <c r="A10" s="1" t="s">
        <v>54</v>
      </c>
      <c r="B10" s="1" t="s">
        <v>31</v>
      </c>
      <c r="C10" s="1" t="s">
        <v>55</v>
      </c>
      <c r="D10" s="1" t="s">
        <v>56</v>
      </c>
      <c r="E10" s="1" t="s">
        <v>57</v>
      </c>
      <c r="F10" s="7">
        <v>46047</v>
      </c>
      <c r="G10" s="1" t="s">
        <v>58</v>
      </c>
      <c r="H10" s="1" t="s">
        <v>23</v>
      </c>
      <c r="I10" s="1" t="s">
        <v>24</v>
      </c>
      <c r="J10" s="3" t="s">
        <v>282</v>
      </c>
    </row>
    <row r="11" spans="1:10" x14ac:dyDescent="0.3">
      <c r="A11" s="1" t="s">
        <v>59</v>
      </c>
      <c r="B11" s="1" t="s">
        <v>18</v>
      </c>
      <c r="C11" s="1" t="s">
        <v>60</v>
      </c>
      <c r="D11" s="1" t="s">
        <v>28</v>
      </c>
      <c r="E11" s="1" t="s">
        <v>39</v>
      </c>
      <c r="F11" s="7">
        <v>46047</v>
      </c>
      <c r="G11" s="1" t="s">
        <v>61</v>
      </c>
      <c r="H11" s="1" t="s">
        <v>23</v>
      </c>
      <c r="I11" s="1" t="s">
        <v>24</v>
      </c>
      <c r="J11" s="3" t="s">
        <v>287</v>
      </c>
    </row>
    <row r="12" spans="1:10" x14ac:dyDescent="0.3">
      <c r="A12" s="1" t="s">
        <v>62</v>
      </c>
      <c r="B12" s="1" t="s">
        <v>63</v>
      </c>
      <c r="C12" s="1" t="s">
        <v>64</v>
      </c>
      <c r="D12" s="1" t="s">
        <v>12</v>
      </c>
      <c r="E12" s="1" t="s">
        <v>34</v>
      </c>
      <c r="F12" s="7">
        <v>46046</v>
      </c>
      <c r="G12" s="1" t="s">
        <v>14</v>
      </c>
      <c r="H12" s="1" t="s">
        <v>15</v>
      </c>
      <c r="I12" s="1" t="s">
        <v>24</v>
      </c>
      <c r="J12" s="3" t="s">
        <v>288</v>
      </c>
    </row>
    <row r="13" spans="1:10" x14ac:dyDescent="0.3">
      <c r="A13" s="1" t="s">
        <v>65</v>
      </c>
      <c r="B13" s="1" t="s">
        <v>66</v>
      </c>
      <c r="C13" s="1" t="s">
        <v>67</v>
      </c>
      <c r="D13" s="1" t="s">
        <v>20</v>
      </c>
      <c r="E13" s="1" t="s">
        <v>57</v>
      </c>
      <c r="F13" s="7">
        <v>46045</v>
      </c>
      <c r="G13" s="1" t="s">
        <v>22</v>
      </c>
      <c r="H13" s="1" t="s">
        <v>23</v>
      </c>
      <c r="I13" s="1" t="s">
        <v>24</v>
      </c>
      <c r="J13" s="3" t="s">
        <v>289</v>
      </c>
    </row>
    <row r="14" spans="1:10" x14ac:dyDescent="0.3">
      <c r="A14" s="1" t="s">
        <v>68</v>
      </c>
      <c r="B14" s="1" t="s">
        <v>18</v>
      </c>
      <c r="C14" s="1" t="s">
        <v>69</v>
      </c>
      <c r="D14" s="1" t="s">
        <v>70</v>
      </c>
      <c r="E14" s="1" t="s">
        <v>13</v>
      </c>
      <c r="F14" s="7">
        <v>46045</v>
      </c>
      <c r="G14" s="1" t="s">
        <v>71</v>
      </c>
      <c r="H14" s="1" t="s">
        <v>23</v>
      </c>
      <c r="I14" s="1" t="s">
        <v>24</v>
      </c>
      <c r="J14" s="3" t="s">
        <v>290</v>
      </c>
    </row>
    <row r="15" spans="1:10" x14ac:dyDescent="0.3">
      <c r="A15" s="1" t="s">
        <v>72</v>
      </c>
      <c r="B15" s="1" t="s">
        <v>73</v>
      </c>
      <c r="C15" s="1" t="s">
        <v>74</v>
      </c>
      <c r="D15" s="1" t="s">
        <v>12</v>
      </c>
      <c r="E15" s="1" t="s">
        <v>13</v>
      </c>
      <c r="F15" s="7">
        <v>46045</v>
      </c>
      <c r="G15" s="1" t="s">
        <v>75</v>
      </c>
      <c r="H15" s="1" t="s">
        <v>15</v>
      </c>
      <c r="I15" s="1" t="s">
        <v>24</v>
      </c>
      <c r="J15" s="3" t="s">
        <v>291</v>
      </c>
    </row>
    <row r="16" spans="1:10" x14ac:dyDescent="0.3">
      <c r="A16" s="1" t="s">
        <v>76</v>
      </c>
      <c r="B16" s="1" t="s">
        <v>77</v>
      </c>
      <c r="C16" s="1" t="s">
        <v>78</v>
      </c>
      <c r="D16" s="1" t="s">
        <v>33</v>
      </c>
      <c r="E16" s="1" t="s">
        <v>21</v>
      </c>
      <c r="F16" s="7">
        <v>46045</v>
      </c>
      <c r="G16" s="1" t="s">
        <v>48</v>
      </c>
      <c r="H16" s="1" t="s">
        <v>23</v>
      </c>
      <c r="I16" s="1" t="s">
        <v>24</v>
      </c>
      <c r="J16" s="3" t="s">
        <v>282</v>
      </c>
    </row>
    <row r="17" spans="1:10" x14ac:dyDescent="0.3">
      <c r="A17" s="1" t="s">
        <v>79</v>
      </c>
      <c r="B17" s="1" t="s">
        <v>46</v>
      </c>
      <c r="C17" s="1" t="s">
        <v>80</v>
      </c>
      <c r="D17" s="1" t="s">
        <v>51</v>
      </c>
      <c r="E17" s="1" t="s">
        <v>34</v>
      </c>
      <c r="F17" s="7">
        <v>46044</v>
      </c>
      <c r="G17" s="1" t="s">
        <v>52</v>
      </c>
      <c r="H17" s="1" t="s">
        <v>53</v>
      </c>
      <c r="I17" s="1" t="s">
        <v>24</v>
      </c>
      <c r="J17" s="3" t="s">
        <v>286</v>
      </c>
    </row>
    <row r="18" spans="1:10" x14ac:dyDescent="0.3">
      <c r="A18" s="1" t="s">
        <v>81</v>
      </c>
      <c r="B18" s="1" t="s">
        <v>73</v>
      </c>
      <c r="C18" s="1" t="s">
        <v>82</v>
      </c>
      <c r="D18" s="1" t="s">
        <v>56</v>
      </c>
      <c r="E18" s="1" t="s">
        <v>39</v>
      </c>
      <c r="F18" s="7">
        <v>46044</v>
      </c>
      <c r="G18" s="1" t="s">
        <v>83</v>
      </c>
      <c r="H18" s="1" t="s">
        <v>23</v>
      </c>
      <c r="I18" s="1" t="s">
        <v>16</v>
      </c>
      <c r="J18" s="3" t="s">
        <v>284</v>
      </c>
    </row>
    <row r="19" spans="1:10" x14ac:dyDescent="0.3">
      <c r="A19" s="1" t="s">
        <v>84</v>
      </c>
      <c r="B19" s="1" t="s">
        <v>10</v>
      </c>
      <c r="C19" s="1" t="s">
        <v>32</v>
      </c>
      <c r="D19" s="1" t="s">
        <v>33</v>
      </c>
      <c r="E19" s="1" t="s">
        <v>21</v>
      </c>
      <c r="F19" s="7">
        <v>46043</v>
      </c>
      <c r="G19" s="1" t="s">
        <v>35</v>
      </c>
      <c r="H19" s="1" t="s">
        <v>15</v>
      </c>
      <c r="I19" s="1" t="s">
        <v>16</v>
      </c>
      <c r="J19" s="3" t="s">
        <v>291</v>
      </c>
    </row>
    <row r="20" spans="1:10" x14ac:dyDescent="0.3">
      <c r="A20" s="1" t="s">
        <v>85</v>
      </c>
      <c r="B20" s="1" t="s">
        <v>26</v>
      </c>
      <c r="C20" s="1" t="s">
        <v>86</v>
      </c>
      <c r="D20" s="1" t="s">
        <v>51</v>
      </c>
      <c r="E20" s="1" t="s">
        <v>34</v>
      </c>
      <c r="F20" s="7">
        <v>46042</v>
      </c>
      <c r="G20" s="1" t="s">
        <v>52</v>
      </c>
      <c r="H20" s="1" t="s">
        <v>53</v>
      </c>
      <c r="I20" s="1" t="s">
        <v>24</v>
      </c>
      <c r="J20" s="3" t="s">
        <v>292</v>
      </c>
    </row>
    <row r="21" spans="1:10" x14ac:dyDescent="0.3">
      <c r="A21" s="1" t="s">
        <v>87</v>
      </c>
      <c r="B21" s="1" t="s">
        <v>88</v>
      </c>
      <c r="C21" s="1" t="s">
        <v>89</v>
      </c>
      <c r="D21" s="1" t="s">
        <v>33</v>
      </c>
      <c r="E21" s="1" t="s">
        <v>39</v>
      </c>
      <c r="F21" s="7">
        <v>46041</v>
      </c>
      <c r="G21" s="1" t="s">
        <v>48</v>
      </c>
      <c r="H21" s="1" t="s">
        <v>23</v>
      </c>
      <c r="I21" s="1" t="s">
        <v>24</v>
      </c>
      <c r="J21" s="3" t="s">
        <v>282</v>
      </c>
    </row>
    <row r="22" spans="1:10" x14ac:dyDescent="0.3">
      <c r="A22" s="1" t="s">
        <v>90</v>
      </c>
      <c r="B22" s="1" t="s">
        <v>66</v>
      </c>
      <c r="C22" s="1" t="s">
        <v>55</v>
      </c>
      <c r="D22" s="1" t="s">
        <v>56</v>
      </c>
      <c r="E22" s="1" t="s">
        <v>13</v>
      </c>
      <c r="F22" s="7">
        <v>46041</v>
      </c>
      <c r="G22" s="1" t="s">
        <v>58</v>
      </c>
      <c r="H22" s="1" t="s">
        <v>23</v>
      </c>
      <c r="I22" s="1" t="s">
        <v>16</v>
      </c>
      <c r="J22" s="3" t="s">
        <v>291</v>
      </c>
    </row>
    <row r="23" spans="1:10" x14ac:dyDescent="0.3">
      <c r="A23" s="1" t="s">
        <v>91</v>
      </c>
      <c r="B23" s="1" t="s">
        <v>92</v>
      </c>
      <c r="C23" s="1" t="s">
        <v>93</v>
      </c>
      <c r="D23" s="1" t="s">
        <v>56</v>
      </c>
      <c r="E23" s="1" t="s">
        <v>57</v>
      </c>
      <c r="F23" s="7">
        <v>46041</v>
      </c>
      <c r="G23" s="1" t="s">
        <v>83</v>
      </c>
      <c r="H23" s="1" t="s">
        <v>23</v>
      </c>
      <c r="I23" s="1" t="s">
        <v>24</v>
      </c>
      <c r="J23" s="3" t="s">
        <v>291</v>
      </c>
    </row>
    <row r="24" spans="1:10" x14ac:dyDescent="0.3">
      <c r="A24" s="1" t="s">
        <v>94</v>
      </c>
      <c r="B24" s="1" t="s">
        <v>26</v>
      </c>
      <c r="C24" s="1" t="s">
        <v>95</v>
      </c>
      <c r="D24" s="1" t="s">
        <v>28</v>
      </c>
      <c r="E24" s="1" t="s">
        <v>13</v>
      </c>
      <c r="F24" s="7">
        <v>46040</v>
      </c>
      <c r="G24" s="1" t="s">
        <v>96</v>
      </c>
      <c r="H24" s="1" t="s">
        <v>23</v>
      </c>
      <c r="I24" s="1" t="s">
        <v>16</v>
      </c>
      <c r="J24" s="3" t="s">
        <v>293</v>
      </c>
    </row>
    <row r="25" spans="1:10" x14ac:dyDescent="0.3">
      <c r="A25" s="1" t="s">
        <v>97</v>
      </c>
      <c r="B25" s="1" t="s">
        <v>98</v>
      </c>
      <c r="C25" s="1" t="s">
        <v>99</v>
      </c>
      <c r="D25" s="1" t="s">
        <v>28</v>
      </c>
      <c r="E25" s="1" t="s">
        <v>21</v>
      </c>
      <c r="F25" s="7">
        <v>46040</v>
      </c>
      <c r="G25" s="1" t="s">
        <v>100</v>
      </c>
      <c r="H25" s="1" t="s">
        <v>23</v>
      </c>
      <c r="I25" s="1" t="s">
        <v>16</v>
      </c>
      <c r="J25" s="3" t="s">
        <v>294</v>
      </c>
    </row>
    <row r="26" spans="1:10" x14ac:dyDescent="0.3">
      <c r="A26" s="1" t="s">
        <v>101</v>
      </c>
      <c r="B26" s="1" t="s">
        <v>102</v>
      </c>
      <c r="C26" s="1" t="s">
        <v>95</v>
      </c>
      <c r="D26" s="1" t="s">
        <v>28</v>
      </c>
      <c r="E26" s="1" t="s">
        <v>57</v>
      </c>
      <c r="F26" s="7">
        <v>46040</v>
      </c>
      <c r="G26" s="1" t="s">
        <v>96</v>
      </c>
      <c r="H26" s="1" t="s">
        <v>23</v>
      </c>
      <c r="I26" s="1" t="s">
        <v>24</v>
      </c>
      <c r="J26" s="3" t="s">
        <v>295</v>
      </c>
    </row>
    <row r="27" spans="1:10" x14ac:dyDescent="0.3">
      <c r="A27" s="1" t="s">
        <v>103</v>
      </c>
      <c r="B27" s="1" t="s">
        <v>102</v>
      </c>
      <c r="C27" s="1" t="s">
        <v>104</v>
      </c>
      <c r="D27" s="1" t="s">
        <v>20</v>
      </c>
      <c r="E27" s="1" t="s">
        <v>21</v>
      </c>
      <c r="F27" s="7">
        <v>46039</v>
      </c>
      <c r="G27" s="1" t="s">
        <v>105</v>
      </c>
      <c r="H27" s="1" t="s">
        <v>23</v>
      </c>
      <c r="I27" s="1" t="s">
        <v>24</v>
      </c>
      <c r="J27" s="3" t="s">
        <v>296</v>
      </c>
    </row>
    <row r="28" spans="1:10" x14ac:dyDescent="0.3">
      <c r="A28" s="1" t="s">
        <v>106</v>
      </c>
      <c r="B28" s="1" t="s">
        <v>107</v>
      </c>
      <c r="C28" s="1" t="s">
        <v>108</v>
      </c>
      <c r="D28" s="1" t="s">
        <v>20</v>
      </c>
      <c r="E28" s="1" t="s">
        <v>39</v>
      </c>
      <c r="F28" s="7">
        <v>46039</v>
      </c>
      <c r="G28" s="1" t="s">
        <v>109</v>
      </c>
      <c r="H28" s="1" t="s">
        <v>23</v>
      </c>
      <c r="I28" s="1" t="s">
        <v>24</v>
      </c>
      <c r="J28" s="3" t="s">
        <v>297</v>
      </c>
    </row>
    <row r="29" spans="1:10" x14ac:dyDescent="0.3">
      <c r="A29" s="1" t="s">
        <v>110</v>
      </c>
      <c r="B29" s="1" t="s">
        <v>37</v>
      </c>
      <c r="C29" s="1" t="s">
        <v>111</v>
      </c>
      <c r="D29" s="1" t="s">
        <v>33</v>
      </c>
      <c r="E29" s="1" t="s">
        <v>39</v>
      </c>
      <c r="F29" s="7">
        <v>46039</v>
      </c>
      <c r="G29" s="1" t="s">
        <v>112</v>
      </c>
      <c r="H29" s="1" t="s">
        <v>23</v>
      </c>
      <c r="I29" s="1" t="s">
        <v>24</v>
      </c>
      <c r="J29" s="3" t="s">
        <v>285</v>
      </c>
    </row>
    <row r="30" spans="1:10" x14ac:dyDescent="0.3">
      <c r="A30" s="1" t="s">
        <v>113</v>
      </c>
      <c r="B30" s="1" t="s">
        <v>114</v>
      </c>
      <c r="C30" s="1" t="s">
        <v>115</v>
      </c>
      <c r="D30" s="1" t="s">
        <v>70</v>
      </c>
      <c r="E30" s="1" t="s">
        <v>21</v>
      </c>
      <c r="F30" s="7">
        <v>46037</v>
      </c>
      <c r="G30" s="1" t="s">
        <v>116</v>
      </c>
      <c r="H30" s="1" t="s">
        <v>23</v>
      </c>
      <c r="I30" s="1" t="s">
        <v>16</v>
      </c>
      <c r="J30" s="3" t="s">
        <v>282</v>
      </c>
    </row>
    <row r="31" spans="1:10" x14ac:dyDescent="0.3">
      <c r="A31" s="1" t="s">
        <v>117</v>
      </c>
      <c r="B31" s="1" t="s">
        <v>18</v>
      </c>
      <c r="C31" s="1" t="s">
        <v>118</v>
      </c>
      <c r="D31" s="1" t="s">
        <v>28</v>
      </c>
      <c r="E31" s="1" t="s">
        <v>13</v>
      </c>
      <c r="F31" s="7">
        <v>46037</v>
      </c>
      <c r="G31" s="1" t="s">
        <v>119</v>
      </c>
      <c r="H31" s="1" t="s">
        <v>23</v>
      </c>
      <c r="I31" s="1" t="s">
        <v>24</v>
      </c>
      <c r="J31" s="3" t="s">
        <v>281</v>
      </c>
    </row>
    <row r="32" spans="1:10" x14ac:dyDescent="0.3">
      <c r="A32" s="1" t="s">
        <v>120</v>
      </c>
      <c r="B32" s="1" t="s">
        <v>46</v>
      </c>
      <c r="C32" s="1" t="s">
        <v>121</v>
      </c>
      <c r="D32" s="1" t="s">
        <v>33</v>
      </c>
      <c r="E32" s="1" t="s">
        <v>21</v>
      </c>
      <c r="F32" s="7">
        <v>46036</v>
      </c>
      <c r="G32" s="1" t="s">
        <v>112</v>
      </c>
      <c r="H32" s="1" t="s">
        <v>23</v>
      </c>
      <c r="I32" s="1" t="s">
        <v>16</v>
      </c>
      <c r="J32" s="3" t="s">
        <v>283</v>
      </c>
    </row>
    <row r="33" spans="1:10" x14ac:dyDescent="0.3">
      <c r="A33" s="1" t="s">
        <v>122</v>
      </c>
      <c r="B33" s="1" t="s">
        <v>26</v>
      </c>
      <c r="C33" s="1" t="s">
        <v>123</v>
      </c>
      <c r="D33" s="1" t="s">
        <v>70</v>
      </c>
      <c r="E33" s="1" t="s">
        <v>34</v>
      </c>
      <c r="F33" s="7">
        <v>46036</v>
      </c>
      <c r="G33" s="1" t="s">
        <v>124</v>
      </c>
      <c r="H33" s="1" t="s">
        <v>23</v>
      </c>
      <c r="I33" s="1" t="s">
        <v>16</v>
      </c>
      <c r="J33" s="3" t="s">
        <v>298</v>
      </c>
    </row>
    <row r="34" spans="1:10" x14ac:dyDescent="0.3">
      <c r="A34" s="1" t="s">
        <v>125</v>
      </c>
      <c r="B34" s="1" t="s">
        <v>37</v>
      </c>
      <c r="C34" s="1" t="s">
        <v>126</v>
      </c>
      <c r="D34" s="1" t="s">
        <v>33</v>
      </c>
      <c r="E34" s="1" t="s">
        <v>34</v>
      </c>
      <c r="F34" s="7">
        <v>46036</v>
      </c>
      <c r="G34" s="1" t="s">
        <v>48</v>
      </c>
      <c r="H34" s="1" t="s">
        <v>23</v>
      </c>
      <c r="I34" s="1" t="s">
        <v>24</v>
      </c>
      <c r="J34" s="3" t="s">
        <v>299</v>
      </c>
    </row>
    <row r="35" spans="1:10" x14ac:dyDescent="0.3">
      <c r="A35" s="1" t="s">
        <v>127</v>
      </c>
      <c r="B35" s="1" t="s">
        <v>102</v>
      </c>
      <c r="C35" s="1" t="s">
        <v>128</v>
      </c>
      <c r="D35" s="1" t="s">
        <v>28</v>
      </c>
      <c r="E35" s="1" t="s">
        <v>57</v>
      </c>
      <c r="F35" s="7">
        <v>46036</v>
      </c>
      <c r="G35" s="1" t="s">
        <v>61</v>
      </c>
      <c r="H35" s="1" t="s">
        <v>23</v>
      </c>
      <c r="I35" s="1" t="s">
        <v>24</v>
      </c>
      <c r="J35" s="3" t="s">
        <v>300</v>
      </c>
    </row>
    <row r="36" spans="1:10" x14ac:dyDescent="0.3">
      <c r="A36" s="1" t="s">
        <v>129</v>
      </c>
      <c r="B36" s="1" t="s">
        <v>26</v>
      </c>
      <c r="C36" s="1" t="s">
        <v>130</v>
      </c>
      <c r="D36" s="1" t="s">
        <v>33</v>
      </c>
      <c r="E36" s="1" t="s">
        <v>34</v>
      </c>
      <c r="F36" s="7">
        <v>46036</v>
      </c>
      <c r="G36" s="1" t="s">
        <v>112</v>
      </c>
      <c r="H36" s="1" t="s">
        <v>23</v>
      </c>
      <c r="I36" s="1" t="s">
        <v>16</v>
      </c>
      <c r="J36" s="3" t="s">
        <v>299</v>
      </c>
    </row>
    <row r="37" spans="1:10" x14ac:dyDescent="0.3">
      <c r="A37" s="1" t="s">
        <v>131</v>
      </c>
      <c r="B37" s="1" t="s">
        <v>26</v>
      </c>
      <c r="C37" s="1" t="s">
        <v>132</v>
      </c>
      <c r="D37" s="1" t="s">
        <v>51</v>
      </c>
      <c r="E37" s="1" t="s">
        <v>57</v>
      </c>
      <c r="F37" s="7">
        <v>46036</v>
      </c>
      <c r="G37" s="1" t="s">
        <v>133</v>
      </c>
      <c r="H37" s="1" t="s">
        <v>53</v>
      </c>
      <c r="I37" s="1" t="s">
        <v>24</v>
      </c>
      <c r="J37" s="3" t="s">
        <v>301</v>
      </c>
    </row>
    <row r="38" spans="1:10" x14ac:dyDescent="0.3">
      <c r="A38" s="1" t="s">
        <v>134</v>
      </c>
      <c r="B38" s="1" t="s">
        <v>114</v>
      </c>
      <c r="C38" s="1" t="s">
        <v>93</v>
      </c>
      <c r="D38" s="1" t="s">
        <v>56</v>
      </c>
      <c r="E38" s="1" t="s">
        <v>21</v>
      </c>
      <c r="F38" s="7">
        <v>46035</v>
      </c>
      <c r="G38" s="1" t="s">
        <v>83</v>
      </c>
      <c r="H38" s="1" t="s">
        <v>23</v>
      </c>
      <c r="I38" s="1" t="s">
        <v>24</v>
      </c>
      <c r="J38" s="3" t="s">
        <v>282</v>
      </c>
    </row>
    <row r="39" spans="1:10" x14ac:dyDescent="0.3">
      <c r="A39" s="1" t="s">
        <v>135</v>
      </c>
      <c r="B39" s="1" t="s">
        <v>18</v>
      </c>
      <c r="C39" s="1" t="s">
        <v>136</v>
      </c>
      <c r="D39" s="1" t="s">
        <v>28</v>
      </c>
      <c r="E39" s="1" t="s">
        <v>21</v>
      </c>
      <c r="F39" s="7">
        <v>46035</v>
      </c>
      <c r="G39" s="1" t="s">
        <v>137</v>
      </c>
      <c r="H39" s="1" t="s">
        <v>53</v>
      </c>
      <c r="I39" s="1" t="s">
        <v>24</v>
      </c>
      <c r="J39" s="3" t="s">
        <v>302</v>
      </c>
    </row>
    <row r="40" spans="1:10" x14ac:dyDescent="0.3">
      <c r="A40" s="1" t="s">
        <v>138</v>
      </c>
      <c r="B40" s="1" t="s">
        <v>102</v>
      </c>
      <c r="C40" s="1" t="s">
        <v>136</v>
      </c>
      <c r="D40" s="1" t="s">
        <v>28</v>
      </c>
      <c r="E40" s="1" t="s">
        <v>57</v>
      </c>
      <c r="F40" s="7">
        <v>46034</v>
      </c>
      <c r="G40" s="1" t="s">
        <v>137</v>
      </c>
      <c r="H40" s="1" t="s">
        <v>53</v>
      </c>
      <c r="I40" s="1" t="s">
        <v>24</v>
      </c>
      <c r="J40" s="3" t="s">
        <v>302</v>
      </c>
    </row>
    <row r="41" spans="1:10" x14ac:dyDescent="0.3">
      <c r="A41" s="1" t="s">
        <v>139</v>
      </c>
      <c r="B41" s="1" t="s">
        <v>102</v>
      </c>
      <c r="C41" s="1" t="s">
        <v>132</v>
      </c>
      <c r="D41" s="1" t="s">
        <v>51</v>
      </c>
      <c r="E41" s="1" t="s">
        <v>39</v>
      </c>
      <c r="F41" s="7">
        <v>46034</v>
      </c>
      <c r="G41" s="1" t="s">
        <v>133</v>
      </c>
      <c r="H41" s="1" t="s">
        <v>53</v>
      </c>
      <c r="I41" s="1" t="s">
        <v>24</v>
      </c>
      <c r="J41" s="3" t="s">
        <v>301</v>
      </c>
    </row>
    <row r="42" spans="1:10" x14ac:dyDescent="0.3">
      <c r="A42" s="1" t="s">
        <v>140</v>
      </c>
      <c r="B42" s="1" t="s">
        <v>63</v>
      </c>
      <c r="C42" s="1" t="s">
        <v>141</v>
      </c>
      <c r="D42" s="1" t="s">
        <v>12</v>
      </c>
      <c r="E42" s="1" t="s">
        <v>13</v>
      </c>
      <c r="F42" s="7">
        <v>46034</v>
      </c>
      <c r="G42" s="1" t="s">
        <v>142</v>
      </c>
      <c r="H42" s="1" t="s">
        <v>23</v>
      </c>
      <c r="I42" s="1" t="s">
        <v>24</v>
      </c>
      <c r="J42" s="3" t="s">
        <v>291</v>
      </c>
    </row>
    <row r="43" spans="1:10" x14ac:dyDescent="0.3">
      <c r="A43" s="1" t="s">
        <v>143</v>
      </c>
      <c r="B43" s="1" t="s">
        <v>66</v>
      </c>
      <c r="C43" s="1" t="s">
        <v>43</v>
      </c>
      <c r="D43" s="1" t="s">
        <v>12</v>
      </c>
      <c r="E43" s="1" t="s">
        <v>39</v>
      </c>
      <c r="F43" s="7">
        <v>46034</v>
      </c>
      <c r="G43" s="1" t="s">
        <v>44</v>
      </c>
      <c r="H43" s="1" t="s">
        <v>23</v>
      </c>
      <c r="I43" s="1" t="s">
        <v>24</v>
      </c>
      <c r="J43" s="3" t="s">
        <v>303</v>
      </c>
    </row>
    <row r="44" spans="1:10" x14ac:dyDescent="0.3">
      <c r="A44" s="1" t="s">
        <v>144</v>
      </c>
      <c r="B44" s="1" t="s">
        <v>63</v>
      </c>
      <c r="C44" s="1" t="s">
        <v>145</v>
      </c>
      <c r="D44" s="1" t="s">
        <v>20</v>
      </c>
      <c r="E44" s="1" t="s">
        <v>13</v>
      </c>
      <c r="F44" s="7">
        <v>46034</v>
      </c>
      <c r="G44" s="1" t="s">
        <v>22</v>
      </c>
      <c r="H44" s="1" t="s">
        <v>23</v>
      </c>
      <c r="I44" s="1" t="s">
        <v>16</v>
      </c>
      <c r="J44" s="3" t="s">
        <v>289</v>
      </c>
    </row>
    <row r="45" spans="1:10" x14ac:dyDescent="0.3">
      <c r="A45" s="1" t="s">
        <v>146</v>
      </c>
      <c r="B45" s="1" t="s">
        <v>147</v>
      </c>
      <c r="C45" s="1" t="s">
        <v>148</v>
      </c>
      <c r="D45" s="1" t="s">
        <v>12</v>
      </c>
      <c r="E45" s="1" t="s">
        <v>13</v>
      </c>
      <c r="F45" s="7">
        <v>46033</v>
      </c>
      <c r="G45" s="1" t="s">
        <v>149</v>
      </c>
      <c r="H45" s="1" t="s">
        <v>23</v>
      </c>
      <c r="I45" s="1" t="s">
        <v>24</v>
      </c>
      <c r="J45" s="3" t="s">
        <v>304</v>
      </c>
    </row>
    <row r="46" spans="1:10" x14ac:dyDescent="0.3">
      <c r="A46" s="1" t="s">
        <v>150</v>
      </c>
      <c r="B46" s="1" t="s">
        <v>77</v>
      </c>
      <c r="C46" s="1" t="s">
        <v>64</v>
      </c>
      <c r="D46" s="1" t="s">
        <v>12</v>
      </c>
      <c r="E46" s="1" t="s">
        <v>21</v>
      </c>
      <c r="F46" s="7">
        <v>46033</v>
      </c>
      <c r="G46" s="1" t="s">
        <v>14</v>
      </c>
      <c r="H46" s="1" t="s">
        <v>15</v>
      </c>
      <c r="I46" s="1" t="s">
        <v>24</v>
      </c>
      <c r="J46" s="3" t="s">
        <v>288</v>
      </c>
    </row>
    <row r="47" spans="1:10" x14ac:dyDescent="0.3">
      <c r="A47" s="1" t="s">
        <v>151</v>
      </c>
      <c r="B47" s="1" t="s">
        <v>18</v>
      </c>
      <c r="C47" s="1" t="s">
        <v>69</v>
      </c>
      <c r="D47" s="1" t="s">
        <v>70</v>
      </c>
      <c r="E47" s="1" t="s">
        <v>39</v>
      </c>
      <c r="F47" s="7">
        <v>46033</v>
      </c>
      <c r="G47" s="1" t="s">
        <v>71</v>
      </c>
      <c r="H47" s="1" t="s">
        <v>23</v>
      </c>
      <c r="I47" s="1" t="s">
        <v>24</v>
      </c>
      <c r="J47" s="3" t="s">
        <v>305</v>
      </c>
    </row>
    <row r="48" spans="1:10" x14ac:dyDescent="0.3">
      <c r="A48" s="1" t="s">
        <v>152</v>
      </c>
      <c r="B48" s="1" t="s">
        <v>37</v>
      </c>
      <c r="C48" s="1" t="s">
        <v>38</v>
      </c>
      <c r="D48" s="1" t="s">
        <v>33</v>
      </c>
      <c r="E48" s="1" t="s">
        <v>34</v>
      </c>
      <c r="F48" s="7">
        <v>46033</v>
      </c>
      <c r="G48" s="1" t="s">
        <v>40</v>
      </c>
      <c r="H48" s="1" t="s">
        <v>23</v>
      </c>
      <c r="I48" s="1" t="s">
        <v>24</v>
      </c>
      <c r="J48" s="3" t="s">
        <v>306</v>
      </c>
    </row>
    <row r="49" spans="1:10" x14ac:dyDescent="0.3">
      <c r="A49" s="1" t="s">
        <v>153</v>
      </c>
      <c r="B49" s="1" t="s">
        <v>154</v>
      </c>
      <c r="C49" s="1" t="s">
        <v>43</v>
      </c>
      <c r="D49" s="1" t="s">
        <v>12</v>
      </c>
      <c r="E49" s="1" t="s">
        <v>13</v>
      </c>
      <c r="F49" s="7">
        <v>46033</v>
      </c>
      <c r="G49" s="1" t="s">
        <v>44</v>
      </c>
      <c r="H49" s="1" t="s">
        <v>23</v>
      </c>
      <c r="I49" s="1" t="s">
        <v>24</v>
      </c>
      <c r="J49" s="3" t="s">
        <v>303</v>
      </c>
    </row>
    <row r="50" spans="1:10" x14ac:dyDescent="0.3">
      <c r="A50" s="1" t="s">
        <v>155</v>
      </c>
      <c r="B50" s="1" t="s">
        <v>42</v>
      </c>
      <c r="C50" s="1" t="s">
        <v>141</v>
      </c>
      <c r="D50" s="1" t="s">
        <v>12</v>
      </c>
      <c r="E50" s="1" t="s">
        <v>13</v>
      </c>
      <c r="F50" s="7">
        <v>46033</v>
      </c>
      <c r="G50" s="1" t="s">
        <v>142</v>
      </c>
      <c r="H50" s="1" t="s">
        <v>23</v>
      </c>
      <c r="I50" s="1" t="s">
        <v>24</v>
      </c>
      <c r="J50" s="3" t="s">
        <v>291</v>
      </c>
    </row>
    <row r="51" spans="1:10" x14ac:dyDescent="0.3">
      <c r="A51" s="1" t="s">
        <v>156</v>
      </c>
      <c r="B51" s="1" t="s">
        <v>88</v>
      </c>
      <c r="C51" s="1" t="s">
        <v>43</v>
      </c>
      <c r="D51" s="1" t="s">
        <v>12</v>
      </c>
      <c r="E51" s="1" t="s">
        <v>21</v>
      </c>
      <c r="F51" s="7">
        <v>46032</v>
      </c>
      <c r="G51" s="1" t="s">
        <v>44</v>
      </c>
      <c r="H51" s="1" t="s">
        <v>23</v>
      </c>
      <c r="I51" s="1" t="s">
        <v>24</v>
      </c>
      <c r="J51" s="3" t="s">
        <v>303</v>
      </c>
    </row>
    <row r="52" spans="1:10" x14ac:dyDescent="0.3">
      <c r="A52" s="1" t="s">
        <v>157</v>
      </c>
      <c r="B52" s="1" t="s">
        <v>37</v>
      </c>
      <c r="C52" s="1" t="s">
        <v>104</v>
      </c>
      <c r="D52" s="1" t="s">
        <v>20</v>
      </c>
      <c r="E52" s="1" t="s">
        <v>21</v>
      </c>
      <c r="F52" s="7">
        <v>46032</v>
      </c>
      <c r="G52" s="1" t="s">
        <v>105</v>
      </c>
      <c r="H52" s="1" t="s">
        <v>23</v>
      </c>
      <c r="I52" s="1" t="s">
        <v>24</v>
      </c>
      <c r="J52" s="3" t="s">
        <v>307</v>
      </c>
    </row>
    <row r="53" spans="1:10" x14ac:dyDescent="0.3">
      <c r="A53" s="1" t="s">
        <v>158</v>
      </c>
      <c r="B53" s="1" t="s">
        <v>107</v>
      </c>
      <c r="C53" s="1" t="s">
        <v>38</v>
      </c>
      <c r="D53" s="1" t="s">
        <v>33</v>
      </c>
      <c r="E53" s="1" t="s">
        <v>34</v>
      </c>
      <c r="F53" s="7">
        <v>46031</v>
      </c>
      <c r="G53" s="1" t="s">
        <v>40</v>
      </c>
      <c r="H53" s="1" t="s">
        <v>23</v>
      </c>
      <c r="I53" s="1" t="s">
        <v>24</v>
      </c>
      <c r="J53" s="3" t="s">
        <v>308</v>
      </c>
    </row>
    <row r="54" spans="1:10" x14ac:dyDescent="0.3">
      <c r="A54" s="1" t="s">
        <v>159</v>
      </c>
      <c r="B54" s="1" t="s">
        <v>73</v>
      </c>
      <c r="C54" s="1" t="s">
        <v>160</v>
      </c>
      <c r="D54" s="1" t="s">
        <v>70</v>
      </c>
      <c r="E54" s="1" t="s">
        <v>21</v>
      </c>
      <c r="F54" s="7">
        <v>46031</v>
      </c>
      <c r="G54" s="1" t="s">
        <v>124</v>
      </c>
      <c r="H54" s="1" t="s">
        <v>23</v>
      </c>
      <c r="I54" s="1" t="s">
        <v>24</v>
      </c>
      <c r="J54" s="3" t="s">
        <v>291</v>
      </c>
    </row>
    <row r="55" spans="1:10" x14ac:dyDescent="0.3">
      <c r="A55" s="1" t="s">
        <v>161</v>
      </c>
      <c r="B55" s="1" t="s">
        <v>147</v>
      </c>
      <c r="C55" s="1" t="s">
        <v>69</v>
      </c>
      <c r="D55" s="1" t="s">
        <v>70</v>
      </c>
      <c r="E55" s="1" t="s">
        <v>39</v>
      </c>
      <c r="F55" s="7">
        <v>46031</v>
      </c>
      <c r="G55" s="1" t="s">
        <v>71</v>
      </c>
      <c r="H55" s="1" t="s">
        <v>23</v>
      </c>
      <c r="I55" s="1" t="s">
        <v>24</v>
      </c>
      <c r="J55" s="3" t="s">
        <v>297</v>
      </c>
    </row>
    <row r="56" spans="1:10" x14ac:dyDescent="0.3">
      <c r="A56" s="1" t="s">
        <v>162</v>
      </c>
      <c r="B56" s="1" t="s">
        <v>98</v>
      </c>
      <c r="C56" s="1" t="s">
        <v>163</v>
      </c>
      <c r="D56" s="1" t="s">
        <v>70</v>
      </c>
      <c r="E56" s="1" t="s">
        <v>34</v>
      </c>
      <c r="F56" s="7">
        <v>46030</v>
      </c>
      <c r="G56" s="1" t="s">
        <v>124</v>
      </c>
      <c r="H56" s="1" t="s">
        <v>23</v>
      </c>
      <c r="I56" s="1" t="s">
        <v>24</v>
      </c>
      <c r="J56" s="3" t="s">
        <v>294</v>
      </c>
    </row>
    <row r="57" spans="1:10" x14ac:dyDescent="0.3">
      <c r="A57" s="1" t="s">
        <v>164</v>
      </c>
      <c r="B57" s="1" t="s">
        <v>98</v>
      </c>
      <c r="C57" s="1" t="s">
        <v>148</v>
      </c>
      <c r="D57" s="1" t="s">
        <v>12</v>
      </c>
      <c r="E57" s="1" t="s">
        <v>13</v>
      </c>
      <c r="F57" s="7">
        <v>46030</v>
      </c>
      <c r="G57" s="1" t="s">
        <v>149</v>
      </c>
      <c r="H57" s="1" t="s">
        <v>23</v>
      </c>
      <c r="I57" s="1" t="s">
        <v>24</v>
      </c>
      <c r="J57" s="3" t="s">
        <v>309</v>
      </c>
    </row>
    <row r="58" spans="1:10" x14ac:dyDescent="0.3">
      <c r="A58" s="1" t="s">
        <v>165</v>
      </c>
      <c r="B58" s="1" t="s">
        <v>147</v>
      </c>
      <c r="C58" s="1" t="s">
        <v>166</v>
      </c>
      <c r="D58" s="1" t="s">
        <v>70</v>
      </c>
      <c r="E58" s="1" t="s">
        <v>39</v>
      </c>
      <c r="F58" s="7">
        <v>46030</v>
      </c>
      <c r="G58" s="1" t="s">
        <v>124</v>
      </c>
      <c r="H58" s="1" t="s">
        <v>23</v>
      </c>
      <c r="I58" s="1" t="s">
        <v>16</v>
      </c>
      <c r="J58" s="3" t="s">
        <v>282</v>
      </c>
    </row>
    <row r="59" spans="1:10" x14ac:dyDescent="0.3">
      <c r="A59" s="1" t="s">
        <v>167</v>
      </c>
      <c r="B59" s="1" t="s">
        <v>168</v>
      </c>
      <c r="C59" s="1" t="s">
        <v>38</v>
      </c>
      <c r="D59" s="1" t="s">
        <v>33</v>
      </c>
      <c r="E59" s="1" t="s">
        <v>34</v>
      </c>
      <c r="F59" s="7">
        <v>46029</v>
      </c>
      <c r="G59" s="1" t="s">
        <v>40</v>
      </c>
      <c r="H59" s="1" t="s">
        <v>23</v>
      </c>
      <c r="I59" s="1" t="s">
        <v>24</v>
      </c>
      <c r="J59" s="3" t="s">
        <v>310</v>
      </c>
    </row>
    <row r="60" spans="1:10" x14ac:dyDescent="0.3">
      <c r="A60" s="1" t="s">
        <v>169</v>
      </c>
      <c r="B60" s="1" t="s">
        <v>102</v>
      </c>
      <c r="C60" s="1" t="s">
        <v>55</v>
      </c>
      <c r="D60" s="1" t="s">
        <v>56</v>
      </c>
      <c r="E60" s="1" t="s">
        <v>21</v>
      </c>
      <c r="F60" s="7">
        <v>46028</v>
      </c>
      <c r="G60" s="1" t="s">
        <v>58</v>
      </c>
      <c r="H60" s="1" t="s">
        <v>23</v>
      </c>
      <c r="I60" s="1" t="s">
        <v>16</v>
      </c>
      <c r="J60" s="3" t="s">
        <v>311</v>
      </c>
    </row>
    <row r="61" spans="1:10" x14ac:dyDescent="0.3">
      <c r="A61" s="1" t="s">
        <v>170</v>
      </c>
      <c r="B61" s="1" t="s">
        <v>46</v>
      </c>
      <c r="C61" s="1" t="s">
        <v>171</v>
      </c>
      <c r="D61" s="1" t="s">
        <v>28</v>
      </c>
      <c r="E61" s="1" t="s">
        <v>39</v>
      </c>
      <c r="F61" s="7">
        <v>46028</v>
      </c>
      <c r="G61" s="1" t="s">
        <v>119</v>
      </c>
      <c r="H61" s="1" t="s">
        <v>23</v>
      </c>
      <c r="I61" s="1" t="s">
        <v>24</v>
      </c>
      <c r="J61" s="3" t="s">
        <v>298</v>
      </c>
    </row>
    <row r="62" spans="1:10" x14ac:dyDescent="0.3">
      <c r="A62" s="1" t="s">
        <v>172</v>
      </c>
      <c r="B62" s="1" t="s">
        <v>18</v>
      </c>
      <c r="C62" s="1" t="s">
        <v>173</v>
      </c>
      <c r="D62" s="1" t="s">
        <v>70</v>
      </c>
      <c r="E62" s="1" t="s">
        <v>39</v>
      </c>
      <c r="F62" s="7">
        <v>46028</v>
      </c>
      <c r="G62" s="1" t="s">
        <v>174</v>
      </c>
      <c r="H62" s="1" t="s">
        <v>23</v>
      </c>
      <c r="I62" s="1" t="s">
        <v>24</v>
      </c>
      <c r="J62" s="3" t="s">
        <v>290</v>
      </c>
    </row>
    <row r="63" spans="1:10" x14ac:dyDescent="0.3">
      <c r="A63" s="1" t="s">
        <v>175</v>
      </c>
      <c r="B63" s="1" t="s">
        <v>107</v>
      </c>
      <c r="C63" s="1" t="s">
        <v>176</v>
      </c>
      <c r="D63" s="1" t="s">
        <v>12</v>
      </c>
      <c r="E63" s="1" t="s">
        <v>39</v>
      </c>
      <c r="F63" s="7">
        <v>46028</v>
      </c>
      <c r="G63" s="1" t="s">
        <v>14</v>
      </c>
      <c r="H63" s="1" t="s">
        <v>15</v>
      </c>
      <c r="I63" s="1" t="s">
        <v>24</v>
      </c>
      <c r="J63" s="3" t="s">
        <v>288</v>
      </c>
    </row>
    <row r="64" spans="1:10" x14ac:dyDescent="0.3">
      <c r="A64" s="1" t="s">
        <v>177</v>
      </c>
      <c r="B64" s="1" t="s">
        <v>92</v>
      </c>
      <c r="C64" s="1" t="s">
        <v>178</v>
      </c>
      <c r="D64" s="1" t="s">
        <v>56</v>
      </c>
      <c r="E64" s="1" t="s">
        <v>13</v>
      </c>
      <c r="F64" s="7">
        <v>46027</v>
      </c>
      <c r="G64" s="1" t="s">
        <v>179</v>
      </c>
      <c r="H64" s="1" t="s">
        <v>23</v>
      </c>
      <c r="I64" s="1" t="s">
        <v>24</v>
      </c>
      <c r="J64" s="3" t="s">
        <v>282</v>
      </c>
    </row>
    <row r="65" spans="1:10" x14ac:dyDescent="0.3">
      <c r="A65" s="1" t="s">
        <v>180</v>
      </c>
      <c r="B65" s="1" t="s">
        <v>46</v>
      </c>
      <c r="C65" s="1" t="s">
        <v>108</v>
      </c>
      <c r="D65" s="1" t="s">
        <v>20</v>
      </c>
      <c r="E65" s="1" t="s">
        <v>21</v>
      </c>
      <c r="F65" s="7">
        <v>46027</v>
      </c>
      <c r="G65" s="1" t="s">
        <v>109</v>
      </c>
      <c r="H65" s="1" t="s">
        <v>23</v>
      </c>
      <c r="I65" s="1" t="s">
        <v>24</v>
      </c>
      <c r="J65" s="3" t="s">
        <v>302</v>
      </c>
    </row>
    <row r="66" spans="1:10" x14ac:dyDescent="0.3">
      <c r="A66" s="1" t="s">
        <v>181</v>
      </c>
      <c r="B66" s="1" t="s">
        <v>154</v>
      </c>
      <c r="C66" s="1" t="s">
        <v>182</v>
      </c>
      <c r="D66" s="1" t="s">
        <v>56</v>
      </c>
      <c r="E66" s="1" t="s">
        <v>21</v>
      </c>
      <c r="F66" s="7">
        <v>46026</v>
      </c>
      <c r="G66" s="1" t="s">
        <v>179</v>
      </c>
      <c r="H66" s="1" t="s">
        <v>23</v>
      </c>
      <c r="I66" s="1" t="s">
        <v>24</v>
      </c>
      <c r="J66" s="3" t="s">
        <v>303</v>
      </c>
    </row>
    <row r="67" spans="1:10" x14ac:dyDescent="0.3">
      <c r="A67" s="1" t="s">
        <v>183</v>
      </c>
      <c r="B67" s="1" t="s">
        <v>168</v>
      </c>
      <c r="C67" s="1" t="s">
        <v>184</v>
      </c>
      <c r="D67" s="1" t="s">
        <v>12</v>
      </c>
      <c r="E67" s="1" t="s">
        <v>34</v>
      </c>
      <c r="F67" s="7">
        <v>46026</v>
      </c>
      <c r="G67" s="1" t="s">
        <v>75</v>
      </c>
      <c r="H67" s="1" t="s">
        <v>15</v>
      </c>
      <c r="I67" s="1" t="s">
        <v>24</v>
      </c>
      <c r="J67" s="3" t="s">
        <v>304</v>
      </c>
    </row>
    <row r="68" spans="1:10" x14ac:dyDescent="0.3">
      <c r="A68" s="1" t="s">
        <v>185</v>
      </c>
      <c r="B68" s="1" t="s">
        <v>154</v>
      </c>
      <c r="C68" s="1" t="s">
        <v>182</v>
      </c>
      <c r="D68" s="1" t="s">
        <v>56</v>
      </c>
      <c r="E68" s="1" t="s">
        <v>39</v>
      </c>
      <c r="F68" s="7">
        <v>46026</v>
      </c>
      <c r="G68" s="1" t="s">
        <v>179</v>
      </c>
      <c r="H68" s="1" t="s">
        <v>23</v>
      </c>
      <c r="I68" s="1" t="s">
        <v>16</v>
      </c>
      <c r="J68" s="3" t="s">
        <v>303</v>
      </c>
    </row>
    <row r="69" spans="1:10" x14ac:dyDescent="0.3">
      <c r="A69" s="1" t="s">
        <v>186</v>
      </c>
      <c r="B69" s="1" t="s">
        <v>77</v>
      </c>
      <c r="C69" s="1" t="s">
        <v>27</v>
      </c>
      <c r="D69" s="1" t="s">
        <v>28</v>
      </c>
      <c r="E69" s="1" t="s">
        <v>34</v>
      </c>
      <c r="F69" s="7">
        <v>46026</v>
      </c>
      <c r="G69" s="1" t="s">
        <v>29</v>
      </c>
      <c r="H69" s="1" t="s">
        <v>23</v>
      </c>
      <c r="I69" s="1" t="s">
        <v>16</v>
      </c>
      <c r="J69" s="3" t="s">
        <v>309</v>
      </c>
    </row>
    <row r="70" spans="1:10" x14ac:dyDescent="0.3">
      <c r="A70" s="1" t="s">
        <v>187</v>
      </c>
      <c r="B70" s="1" t="s">
        <v>46</v>
      </c>
      <c r="C70" s="1" t="s">
        <v>188</v>
      </c>
      <c r="D70" s="1" t="s">
        <v>20</v>
      </c>
      <c r="E70" s="1" t="s">
        <v>13</v>
      </c>
      <c r="F70" s="7">
        <v>46026</v>
      </c>
      <c r="G70" s="1" t="s">
        <v>189</v>
      </c>
      <c r="H70" s="1" t="s">
        <v>23</v>
      </c>
      <c r="I70" s="1" t="s">
        <v>16</v>
      </c>
      <c r="J70" s="3" t="s">
        <v>280</v>
      </c>
    </row>
    <row r="71" spans="1:10" x14ac:dyDescent="0.3">
      <c r="A71" s="1" t="s">
        <v>190</v>
      </c>
      <c r="B71" s="1" t="s">
        <v>46</v>
      </c>
      <c r="C71" s="1" t="s">
        <v>111</v>
      </c>
      <c r="D71" s="1" t="s">
        <v>33</v>
      </c>
      <c r="E71" s="1" t="s">
        <v>21</v>
      </c>
      <c r="F71" s="7">
        <v>46026</v>
      </c>
      <c r="G71" s="1" t="s">
        <v>112</v>
      </c>
      <c r="H71" s="1" t="s">
        <v>23</v>
      </c>
      <c r="I71" s="1" t="s">
        <v>24</v>
      </c>
      <c r="J71" s="3" t="s">
        <v>306</v>
      </c>
    </row>
    <row r="72" spans="1:10" x14ac:dyDescent="0.3">
      <c r="A72" s="1" t="s">
        <v>191</v>
      </c>
      <c r="B72" s="1" t="s">
        <v>114</v>
      </c>
      <c r="C72" s="1" t="s">
        <v>192</v>
      </c>
      <c r="D72" s="1" t="s">
        <v>70</v>
      </c>
      <c r="E72" s="1" t="s">
        <v>21</v>
      </c>
      <c r="F72" s="7">
        <v>46025</v>
      </c>
      <c r="G72" s="1" t="s">
        <v>116</v>
      </c>
      <c r="H72" s="1" t="s">
        <v>23</v>
      </c>
      <c r="I72" s="1" t="s">
        <v>24</v>
      </c>
      <c r="J72" s="3" t="s">
        <v>312</v>
      </c>
    </row>
    <row r="73" spans="1:10" x14ac:dyDescent="0.3">
      <c r="A73" s="1" t="s">
        <v>193</v>
      </c>
      <c r="B73" s="1" t="s">
        <v>37</v>
      </c>
      <c r="C73" s="1" t="s">
        <v>80</v>
      </c>
      <c r="D73" s="1" t="s">
        <v>51</v>
      </c>
      <c r="E73" s="1" t="s">
        <v>39</v>
      </c>
      <c r="F73" s="7">
        <v>46024</v>
      </c>
      <c r="G73" s="1" t="s">
        <v>52</v>
      </c>
      <c r="H73" s="1" t="s">
        <v>53</v>
      </c>
      <c r="I73" s="1" t="s">
        <v>24</v>
      </c>
      <c r="J73" s="3" t="s">
        <v>313</v>
      </c>
    </row>
    <row r="74" spans="1:10" x14ac:dyDescent="0.3">
      <c r="A74" s="1" t="s">
        <v>194</v>
      </c>
      <c r="B74" s="1" t="s">
        <v>31</v>
      </c>
      <c r="C74" s="1" t="s">
        <v>195</v>
      </c>
      <c r="D74" s="1" t="s">
        <v>33</v>
      </c>
      <c r="E74" s="1" t="s">
        <v>13</v>
      </c>
      <c r="F74" s="7">
        <v>46023</v>
      </c>
      <c r="G74" s="1" t="s">
        <v>112</v>
      </c>
      <c r="H74" s="1" t="s">
        <v>23</v>
      </c>
      <c r="I74" s="1" t="s">
        <v>24</v>
      </c>
      <c r="J74" s="3" t="s">
        <v>282</v>
      </c>
    </row>
    <row r="75" spans="1:10" x14ac:dyDescent="0.3">
      <c r="A75" s="1" t="s">
        <v>196</v>
      </c>
      <c r="B75" s="1" t="s">
        <v>37</v>
      </c>
      <c r="C75" s="1" t="s">
        <v>197</v>
      </c>
      <c r="D75" s="1" t="s">
        <v>20</v>
      </c>
      <c r="E75" s="1" t="s">
        <v>21</v>
      </c>
      <c r="F75" s="7">
        <v>46023</v>
      </c>
      <c r="G75" s="1" t="s">
        <v>198</v>
      </c>
      <c r="H75" s="1" t="s">
        <v>23</v>
      </c>
      <c r="I75" s="1" t="s">
        <v>24</v>
      </c>
      <c r="J75" s="3" t="s">
        <v>314</v>
      </c>
    </row>
    <row r="76" spans="1:10" x14ac:dyDescent="0.3">
      <c r="A76" s="1" t="s">
        <v>199</v>
      </c>
      <c r="B76" s="1" t="s">
        <v>46</v>
      </c>
      <c r="C76" s="1" t="s">
        <v>200</v>
      </c>
      <c r="D76" s="1" t="s">
        <v>70</v>
      </c>
      <c r="E76" s="1" t="s">
        <v>57</v>
      </c>
      <c r="F76" s="7">
        <v>46023</v>
      </c>
      <c r="G76" s="1" t="s">
        <v>116</v>
      </c>
      <c r="H76" s="1" t="s">
        <v>23</v>
      </c>
      <c r="I76" s="1" t="s">
        <v>24</v>
      </c>
      <c r="J76" s="3" t="s">
        <v>305</v>
      </c>
    </row>
    <row r="77" spans="1:10" x14ac:dyDescent="0.3">
      <c r="A77" s="1" t="s">
        <v>201</v>
      </c>
      <c r="B77" s="1" t="s">
        <v>18</v>
      </c>
      <c r="C77" s="1" t="s">
        <v>78</v>
      </c>
      <c r="D77" s="1" t="s">
        <v>33</v>
      </c>
      <c r="E77" s="1" t="s">
        <v>34</v>
      </c>
      <c r="F77" s="7">
        <v>46023</v>
      </c>
      <c r="G77" s="1" t="s">
        <v>48</v>
      </c>
      <c r="H77" s="1" t="s">
        <v>23</v>
      </c>
      <c r="I77" s="1" t="s">
        <v>24</v>
      </c>
      <c r="J77" s="3" t="s">
        <v>315</v>
      </c>
    </row>
    <row r="78" spans="1:10" x14ac:dyDescent="0.3">
      <c r="A78" s="1" t="s">
        <v>202</v>
      </c>
      <c r="B78" s="1" t="s">
        <v>37</v>
      </c>
      <c r="C78" s="1" t="s">
        <v>104</v>
      </c>
      <c r="D78" s="1" t="s">
        <v>20</v>
      </c>
      <c r="E78" s="1" t="s">
        <v>21</v>
      </c>
      <c r="F78" s="7">
        <v>46023</v>
      </c>
      <c r="G78" s="1" t="s">
        <v>105</v>
      </c>
      <c r="H78" s="1" t="s">
        <v>23</v>
      </c>
      <c r="I78" s="1" t="s">
        <v>16</v>
      </c>
      <c r="J78" s="3" t="s">
        <v>280</v>
      </c>
    </row>
    <row r="79" spans="1:10" x14ac:dyDescent="0.3">
      <c r="A79" s="1" t="s">
        <v>203</v>
      </c>
      <c r="B79" s="1" t="s">
        <v>92</v>
      </c>
      <c r="C79" s="1" t="s">
        <v>204</v>
      </c>
      <c r="D79" s="1" t="s">
        <v>70</v>
      </c>
      <c r="E79" s="1" t="s">
        <v>13</v>
      </c>
      <c r="F79" s="7">
        <v>46023</v>
      </c>
      <c r="G79" s="1" t="s">
        <v>124</v>
      </c>
      <c r="H79" s="1" t="s">
        <v>23</v>
      </c>
      <c r="I79" s="1" t="s">
        <v>24</v>
      </c>
      <c r="J79" s="3" t="s">
        <v>297</v>
      </c>
    </row>
    <row r="80" spans="1:10" x14ac:dyDescent="0.3">
      <c r="A80" s="1" t="s">
        <v>205</v>
      </c>
      <c r="B80" s="1" t="s">
        <v>77</v>
      </c>
      <c r="C80" s="1" t="s">
        <v>55</v>
      </c>
      <c r="D80" s="1" t="s">
        <v>56</v>
      </c>
      <c r="E80" s="1" t="s">
        <v>13</v>
      </c>
      <c r="F80" s="7">
        <v>46019</v>
      </c>
      <c r="G80" s="1" t="s">
        <v>58</v>
      </c>
      <c r="H80" s="1" t="s">
        <v>23</v>
      </c>
      <c r="I80" s="1" t="s">
        <v>24</v>
      </c>
      <c r="J80" s="3" t="s">
        <v>291</v>
      </c>
    </row>
    <row r="81" spans="1:10" x14ac:dyDescent="0.3">
      <c r="A81" s="1" t="s">
        <v>206</v>
      </c>
      <c r="B81" s="1" t="s">
        <v>46</v>
      </c>
      <c r="C81" s="1" t="s">
        <v>188</v>
      </c>
      <c r="D81" s="1" t="s">
        <v>20</v>
      </c>
      <c r="E81" s="1" t="s">
        <v>21</v>
      </c>
      <c r="F81" s="7">
        <v>46018</v>
      </c>
      <c r="G81" s="1" t="s">
        <v>189</v>
      </c>
      <c r="H81" s="1" t="s">
        <v>23</v>
      </c>
      <c r="I81" s="1" t="s">
        <v>24</v>
      </c>
      <c r="J81" s="3" t="s">
        <v>280</v>
      </c>
    </row>
    <row r="82" spans="1:10" x14ac:dyDescent="0.3">
      <c r="A82" s="1" t="s">
        <v>207</v>
      </c>
      <c r="B82" s="1" t="s">
        <v>98</v>
      </c>
      <c r="C82" s="1" t="s">
        <v>197</v>
      </c>
      <c r="D82" s="1" t="s">
        <v>20</v>
      </c>
      <c r="E82" s="1" t="s">
        <v>21</v>
      </c>
      <c r="F82" s="7">
        <v>46018</v>
      </c>
      <c r="G82" s="1" t="s">
        <v>198</v>
      </c>
      <c r="H82" s="1" t="s">
        <v>23</v>
      </c>
      <c r="I82" s="1" t="s">
        <v>24</v>
      </c>
      <c r="J82" s="3" t="s">
        <v>312</v>
      </c>
    </row>
    <row r="83" spans="1:10" x14ac:dyDescent="0.3">
      <c r="A83" s="1" t="s">
        <v>208</v>
      </c>
      <c r="B83" s="1" t="s">
        <v>88</v>
      </c>
      <c r="C83" s="1" t="s">
        <v>64</v>
      </c>
      <c r="D83" s="1" t="s">
        <v>12</v>
      </c>
      <c r="E83" s="1" t="s">
        <v>57</v>
      </c>
      <c r="F83" s="7">
        <v>46018</v>
      </c>
      <c r="G83" s="1" t="s">
        <v>14</v>
      </c>
      <c r="H83" s="1" t="s">
        <v>15</v>
      </c>
      <c r="I83" s="1" t="s">
        <v>16</v>
      </c>
      <c r="J83" s="3" t="s">
        <v>279</v>
      </c>
    </row>
    <row r="84" spans="1:10" x14ac:dyDescent="0.3">
      <c r="A84" s="1" t="s">
        <v>209</v>
      </c>
      <c r="B84" s="1" t="s">
        <v>92</v>
      </c>
      <c r="C84" s="1" t="s">
        <v>210</v>
      </c>
      <c r="D84" s="1" t="s">
        <v>56</v>
      </c>
      <c r="E84" s="1" t="s">
        <v>34</v>
      </c>
      <c r="F84" s="7">
        <v>46018</v>
      </c>
      <c r="G84" s="1" t="s">
        <v>83</v>
      </c>
      <c r="H84" s="1" t="s">
        <v>23</v>
      </c>
      <c r="I84" s="1" t="s">
        <v>24</v>
      </c>
      <c r="J84" s="3" t="s">
        <v>282</v>
      </c>
    </row>
    <row r="85" spans="1:10" x14ac:dyDescent="0.3">
      <c r="A85" s="1" t="s">
        <v>211</v>
      </c>
      <c r="B85" s="1" t="s">
        <v>114</v>
      </c>
      <c r="C85" s="1" t="s">
        <v>212</v>
      </c>
      <c r="D85" s="1" t="s">
        <v>56</v>
      </c>
      <c r="E85" s="1" t="s">
        <v>34</v>
      </c>
      <c r="F85" s="7">
        <v>46017</v>
      </c>
      <c r="G85" s="1" t="s">
        <v>213</v>
      </c>
      <c r="H85" s="1" t="s">
        <v>23</v>
      </c>
      <c r="I85" s="1" t="s">
        <v>16</v>
      </c>
      <c r="J85" s="3" t="s">
        <v>303</v>
      </c>
    </row>
    <row r="86" spans="1:10" x14ac:dyDescent="0.3">
      <c r="A86" s="1" t="s">
        <v>214</v>
      </c>
      <c r="B86" s="1" t="s">
        <v>92</v>
      </c>
      <c r="C86" s="1" t="s">
        <v>184</v>
      </c>
      <c r="D86" s="1" t="s">
        <v>12</v>
      </c>
      <c r="E86" s="1" t="s">
        <v>34</v>
      </c>
      <c r="F86" s="7">
        <v>46017</v>
      </c>
      <c r="G86" s="1" t="s">
        <v>75</v>
      </c>
      <c r="H86" s="1" t="s">
        <v>15</v>
      </c>
      <c r="I86" s="1" t="s">
        <v>16</v>
      </c>
      <c r="J86" s="3" t="s">
        <v>309</v>
      </c>
    </row>
    <row r="87" spans="1:10" x14ac:dyDescent="0.3">
      <c r="A87" s="1" t="s">
        <v>215</v>
      </c>
      <c r="B87" s="1" t="s">
        <v>77</v>
      </c>
      <c r="C87" s="1" t="s">
        <v>93</v>
      </c>
      <c r="D87" s="1" t="s">
        <v>56</v>
      </c>
      <c r="E87" s="1" t="s">
        <v>34</v>
      </c>
      <c r="F87" s="7">
        <v>46016</v>
      </c>
      <c r="G87" s="1" t="s">
        <v>83</v>
      </c>
      <c r="H87" s="1" t="s">
        <v>23</v>
      </c>
      <c r="I87" s="1" t="s">
        <v>24</v>
      </c>
      <c r="J87" s="3" t="s">
        <v>291</v>
      </c>
    </row>
    <row r="88" spans="1:10" x14ac:dyDescent="0.3">
      <c r="A88" s="1" t="s">
        <v>216</v>
      </c>
      <c r="B88" s="1" t="s">
        <v>147</v>
      </c>
      <c r="C88" s="1" t="s">
        <v>197</v>
      </c>
      <c r="D88" s="1" t="s">
        <v>20</v>
      </c>
      <c r="E88" s="1" t="s">
        <v>39</v>
      </c>
      <c r="F88" s="7">
        <v>46015</v>
      </c>
      <c r="G88" s="1" t="s">
        <v>198</v>
      </c>
      <c r="H88" s="1" t="s">
        <v>23</v>
      </c>
      <c r="I88" s="1" t="s">
        <v>24</v>
      </c>
      <c r="J88" s="3" t="s">
        <v>297</v>
      </c>
    </row>
    <row r="89" spans="1:10" x14ac:dyDescent="0.3">
      <c r="A89" s="1" t="s">
        <v>217</v>
      </c>
      <c r="B89" s="1" t="s">
        <v>98</v>
      </c>
      <c r="C89" s="1" t="s">
        <v>32</v>
      </c>
      <c r="D89" s="1" t="s">
        <v>33</v>
      </c>
      <c r="E89" s="1" t="s">
        <v>13</v>
      </c>
      <c r="F89" s="7">
        <v>46014</v>
      </c>
      <c r="G89" s="1" t="s">
        <v>35</v>
      </c>
      <c r="H89" s="1" t="s">
        <v>15</v>
      </c>
      <c r="I89" s="1" t="s">
        <v>24</v>
      </c>
      <c r="J89" s="3" t="s">
        <v>282</v>
      </c>
    </row>
    <row r="90" spans="1:10" x14ac:dyDescent="0.3">
      <c r="A90" s="1" t="s">
        <v>218</v>
      </c>
      <c r="B90" s="1" t="s">
        <v>42</v>
      </c>
      <c r="C90" s="1" t="s">
        <v>219</v>
      </c>
      <c r="D90" s="1" t="s">
        <v>56</v>
      </c>
      <c r="E90" s="1" t="s">
        <v>21</v>
      </c>
      <c r="F90" s="7">
        <v>46014</v>
      </c>
      <c r="G90" s="1" t="s">
        <v>179</v>
      </c>
      <c r="H90" s="1" t="s">
        <v>23</v>
      </c>
      <c r="I90" s="1" t="s">
        <v>24</v>
      </c>
      <c r="J90" s="3" t="s">
        <v>303</v>
      </c>
    </row>
    <row r="91" spans="1:10" x14ac:dyDescent="0.3">
      <c r="A91" s="1" t="s">
        <v>220</v>
      </c>
      <c r="B91" s="1" t="s">
        <v>37</v>
      </c>
      <c r="C91" s="1" t="s">
        <v>123</v>
      </c>
      <c r="D91" s="1" t="s">
        <v>70</v>
      </c>
      <c r="E91" s="1" t="s">
        <v>34</v>
      </c>
      <c r="F91" s="7">
        <v>46013</v>
      </c>
      <c r="G91" s="1" t="s">
        <v>124</v>
      </c>
      <c r="H91" s="1" t="s">
        <v>23</v>
      </c>
      <c r="I91" s="1" t="s">
        <v>24</v>
      </c>
      <c r="J91" s="3" t="s">
        <v>298</v>
      </c>
    </row>
    <row r="92" spans="1:10" x14ac:dyDescent="0.3">
      <c r="A92" s="1" t="s">
        <v>221</v>
      </c>
      <c r="B92" s="1" t="s">
        <v>18</v>
      </c>
      <c r="C92" s="1" t="s">
        <v>173</v>
      </c>
      <c r="D92" s="1" t="s">
        <v>70</v>
      </c>
      <c r="E92" s="1" t="s">
        <v>13</v>
      </c>
      <c r="F92" s="7">
        <v>46013</v>
      </c>
      <c r="G92" s="1" t="s">
        <v>174</v>
      </c>
      <c r="H92" s="1" t="s">
        <v>23</v>
      </c>
      <c r="I92" s="1" t="s">
        <v>24</v>
      </c>
      <c r="J92" s="3" t="s">
        <v>305</v>
      </c>
    </row>
    <row r="93" spans="1:10" x14ac:dyDescent="0.3">
      <c r="A93" s="1" t="s">
        <v>222</v>
      </c>
      <c r="B93" s="1" t="s">
        <v>88</v>
      </c>
      <c r="C93" s="1" t="s">
        <v>55</v>
      </c>
      <c r="D93" s="1" t="s">
        <v>56</v>
      </c>
      <c r="E93" s="1" t="s">
        <v>39</v>
      </c>
      <c r="F93" s="7">
        <v>46012</v>
      </c>
      <c r="G93" s="1" t="s">
        <v>58</v>
      </c>
      <c r="H93" s="1" t="s">
        <v>23</v>
      </c>
      <c r="I93" s="1" t="s">
        <v>24</v>
      </c>
      <c r="J93" s="3" t="s">
        <v>291</v>
      </c>
    </row>
    <row r="94" spans="1:10" x14ac:dyDescent="0.3">
      <c r="A94" s="1" t="s">
        <v>223</v>
      </c>
      <c r="B94" s="1" t="s">
        <v>73</v>
      </c>
      <c r="C94" s="1" t="s">
        <v>224</v>
      </c>
      <c r="D94" s="1" t="s">
        <v>28</v>
      </c>
      <c r="E94" s="1" t="s">
        <v>21</v>
      </c>
      <c r="F94" s="7">
        <v>46012</v>
      </c>
      <c r="G94" s="1" t="s">
        <v>61</v>
      </c>
      <c r="H94" s="1" t="s">
        <v>23</v>
      </c>
      <c r="I94" s="1" t="s">
        <v>16</v>
      </c>
      <c r="J94" s="3" t="s">
        <v>316</v>
      </c>
    </row>
    <row r="95" spans="1:10" x14ac:dyDescent="0.3">
      <c r="A95" s="1" t="s">
        <v>225</v>
      </c>
      <c r="B95" s="1" t="s">
        <v>168</v>
      </c>
      <c r="C95" s="1" t="s">
        <v>226</v>
      </c>
      <c r="D95" s="1" t="s">
        <v>12</v>
      </c>
      <c r="E95" s="1" t="s">
        <v>57</v>
      </c>
      <c r="F95" s="7">
        <v>46012</v>
      </c>
      <c r="G95" s="1" t="s">
        <v>75</v>
      </c>
      <c r="H95" s="1" t="s">
        <v>15</v>
      </c>
      <c r="I95" s="1" t="s">
        <v>24</v>
      </c>
      <c r="J95" s="3" t="s">
        <v>304</v>
      </c>
    </row>
    <row r="96" spans="1:10" x14ac:dyDescent="0.3">
      <c r="A96" s="1" t="s">
        <v>227</v>
      </c>
      <c r="B96" s="1" t="s">
        <v>154</v>
      </c>
      <c r="C96" s="1" t="s">
        <v>228</v>
      </c>
      <c r="D96" s="1" t="s">
        <v>70</v>
      </c>
      <c r="E96" s="1" t="s">
        <v>34</v>
      </c>
      <c r="F96" s="7">
        <v>46012</v>
      </c>
      <c r="G96" s="1" t="s">
        <v>124</v>
      </c>
      <c r="H96" s="1" t="s">
        <v>23</v>
      </c>
      <c r="I96" s="1" t="s">
        <v>24</v>
      </c>
      <c r="J96" s="3" t="s">
        <v>312</v>
      </c>
    </row>
    <row r="97" spans="1:10" x14ac:dyDescent="0.3">
      <c r="A97" s="1" t="s">
        <v>229</v>
      </c>
      <c r="B97" s="1" t="s">
        <v>63</v>
      </c>
      <c r="C97" s="1" t="s">
        <v>230</v>
      </c>
      <c r="D97" s="1" t="s">
        <v>28</v>
      </c>
      <c r="E97" s="1" t="s">
        <v>34</v>
      </c>
      <c r="F97" s="7">
        <v>46012</v>
      </c>
      <c r="G97" s="1" t="s">
        <v>119</v>
      </c>
      <c r="H97" s="1" t="s">
        <v>23</v>
      </c>
      <c r="I97" s="1" t="s">
        <v>24</v>
      </c>
      <c r="J97" s="3" t="s">
        <v>316</v>
      </c>
    </row>
    <row r="98" spans="1:10" x14ac:dyDescent="0.3">
      <c r="A98" s="1" t="s">
        <v>231</v>
      </c>
      <c r="B98" s="1" t="s">
        <v>42</v>
      </c>
      <c r="C98" s="1" t="s">
        <v>141</v>
      </c>
      <c r="D98" s="1" t="s">
        <v>12</v>
      </c>
      <c r="E98" s="1" t="s">
        <v>57</v>
      </c>
      <c r="F98" s="7">
        <v>46011</v>
      </c>
      <c r="G98" s="1" t="s">
        <v>142</v>
      </c>
      <c r="H98" s="1" t="s">
        <v>23</v>
      </c>
      <c r="I98" s="1" t="s">
        <v>24</v>
      </c>
      <c r="J98" s="3" t="s">
        <v>291</v>
      </c>
    </row>
    <row r="99" spans="1:10" x14ac:dyDescent="0.3">
      <c r="A99" s="1" t="s">
        <v>232</v>
      </c>
      <c r="B99" s="1" t="s">
        <v>18</v>
      </c>
      <c r="C99" s="1" t="s">
        <v>233</v>
      </c>
      <c r="D99" s="1" t="s">
        <v>51</v>
      </c>
      <c r="E99" s="1" t="s">
        <v>39</v>
      </c>
      <c r="F99" s="7">
        <v>46011</v>
      </c>
      <c r="G99" s="1" t="s">
        <v>234</v>
      </c>
      <c r="H99" s="1" t="s">
        <v>53</v>
      </c>
      <c r="I99" s="1" t="s">
        <v>24</v>
      </c>
      <c r="J99" s="3" t="s">
        <v>301</v>
      </c>
    </row>
    <row r="100" spans="1:10" x14ac:dyDescent="0.3">
      <c r="A100" s="1" t="s">
        <v>235</v>
      </c>
      <c r="B100" s="1" t="s">
        <v>154</v>
      </c>
      <c r="C100" s="1" t="s">
        <v>27</v>
      </c>
      <c r="D100" s="1" t="s">
        <v>28</v>
      </c>
      <c r="E100" s="1" t="s">
        <v>21</v>
      </c>
      <c r="F100" s="7">
        <v>46011</v>
      </c>
      <c r="G100" s="1" t="s">
        <v>29</v>
      </c>
      <c r="H100" s="1" t="s">
        <v>23</v>
      </c>
      <c r="I100" s="1" t="s">
        <v>24</v>
      </c>
      <c r="J100" s="3" t="s">
        <v>304</v>
      </c>
    </row>
    <row r="101" spans="1:10" x14ac:dyDescent="0.3">
      <c r="A101" s="1" t="s">
        <v>236</v>
      </c>
      <c r="B101" s="1" t="s">
        <v>26</v>
      </c>
      <c r="C101" s="1" t="s">
        <v>237</v>
      </c>
      <c r="D101" s="1" t="s">
        <v>51</v>
      </c>
      <c r="E101" s="1" t="s">
        <v>13</v>
      </c>
      <c r="F101" s="7">
        <v>46011</v>
      </c>
      <c r="G101" s="1" t="s">
        <v>238</v>
      </c>
      <c r="H101" s="1" t="s">
        <v>53</v>
      </c>
      <c r="I101" s="1" t="s">
        <v>24</v>
      </c>
      <c r="J101" s="3" t="s">
        <v>313</v>
      </c>
    </row>
    <row r="102" spans="1:10" x14ac:dyDescent="0.3">
      <c r="A102" s="1" t="s">
        <v>239</v>
      </c>
      <c r="B102" s="1" t="s">
        <v>66</v>
      </c>
      <c r="C102" s="1" t="s">
        <v>173</v>
      </c>
      <c r="D102" s="1" t="s">
        <v>70</v>
      </c>
      <c r="E102" s="1" t="s">
        <v>39</v>
      </c>
      <c r="F102" s="7">
        <v>46010</v>
      </c>
      <c r="G102" s="1" t="s">
        <v>174</v>
      </c>
      <c r="H102" s="1" t="s">
        <v>23</v>
      </c>
      <c r="I102" s="1" t="s">
        <v>16</v>
      </c>
      <c r="J102" s="3" t="s">
        <v>297</v>
      </c>
    </row>
    <row r="103" spans="1:10" x14ac:dyDescent="0.3">
      <c r="A103" s="1" t="s">
        <v>240</v>
      </c>
      <c r="B103" s="1" t="s">
        <v>18</v>
      </c>
      <c r="C103" s="1" t="s">
        <v>123</v>
      </c>
      <c r="D103" s="1" t="s">
        <v>70</v>
      </c>
      <c r="E103" s="1" t="s">
        <v>39</v>
      </c>
      <c r="F103" s="7">
        <v>46009</v>
      </c>
      <c r="G103" s="1" t="s">
        <v>124</v>
      </c>
      <c r="H103" s="1" t="s">
        <v>23</v>
      </c>
      <c r="I103" s="1" t="s">
        <v>24</v>
      </c>
      <c r="J103" s="3" t="s">
        <v>300</v>
      </c>
    </row>
    <row r="104" spans="1:10" x14ac:dyDescent="0.3">
      <c r="A104" s="1" t="s">
        <v>241</v>
      </c>
      <c r="B104" s="1" t="s">
        <v>26</v>
      </c>
      <c r="C104" s="1" t="s">
        <v>188</v>
      </c>
      <c r="D104" s="1" t="s">
        <v>20</v>
      </c>
      <c r="E104" s="1" t="s">
        <v>39</v>
      </c>
      <c r="F104" s="7">
        <v>46009</v>
      </c>
      <c r="G104" s="1" t="s">
        <v>189</v>
      </c>
      <c r="H104" s="1" t="s">
        <v>23</v>
      </c>
      <c r="I104" s="1" t="s">
        <v>24</v>
      </c>
      <c r="J104" s="3" t="s">
        <v>296</v>
      </c>
    </row>
    <row r="105" spans="1:10" x14ac:dyDescent="0.3">
      <c r="A105" s="1" t="s">
        <v>242</v>
      </c>
      <c r="B105" s="1" t="s">
        <v>147</v>
      </c>
      <c r="C105" s="1" t="s">
        <v>111</v>
      </c>
      <c r="D105" s="1" t="s">
        <v>33</v>
      </c>
      <c r="E105" s="1" t="s">
        <v>39</v>
      </c>
      <c r="F105" s="7">
        <v>46008</v>
      </c>
      <c r="G105" s="1" t="s">
        <v>112</v>
      </c>
      <c r="H105" s="1" t="s">
        <v>23</v>
      </c>
      <c r="I105" s="1" t="s">
        <v>16</v>
      </c>
      <c r="J105" s="3" t="s">
        <v>282</v>
      </c>
    </row>
    <row r="106" spans="1:10" x14ac:dyDescent="0.3">
      <c r="A106" s="1" t="s">
        <v>243</v>
      </c>
      <c r="B106" s="1" t="s">
        <v>10</v>
      </c>
      <c r="C106" s="1" t="s">
        <v>184</v>
      </c>
      <c r="D106" s="1" t="s">
        <v>12</v>
      </c>
      <c r="E106" s="1" t="s">
        <v>39</v>
      </c>
      <c r="F106" s="7">
        <v>46007</v>
      </c>
      <c r="G106" s="1" t="s">
        <v>75</v>
      </c>
      <c r="H106" s="1" t="s">
        <v>15</v>
      </c>
      <c r="I106" s="1" t="s">
        <v>24</v>
      </c>
      <c r="J106" s="3" t="s">
        <v>317</v>
      </c>
    </row>
    <row r="107" spans="1:10" x14ac:dyDescent="0.3">
      <c r="A107" s="1" t="s">
        <v>244</v>
      </c>
      <c r="B107" s="1" t="s">
        <v>37</v>
      </c>
      <c r="C107" s="1" t="s">
        <v>136</v>
      </c>
      <c r="D107" s="1" t="s">
        <v>28</v>
      </c>
      <c r="E107" s="1" t="s">
        <v>34</v>
      </c>
      <c r="F107" s="7">
        <v>46007</v>
      </c>
      <c r="G107" s="1" t="s">
        <v>137</v>
      </c>
      <c r="H107" s="1" t="s">
        <v>53</v>
      </c>
      <c r="I107" s="1" t="s">
        <v>24</v>
      </c>
      <c r="J107" s="3" t="s">
        <v>302</v>
      </c>
    </row>
    <row r="108" spans="1:10" x14ac:dyDescent="0.3">
      <c r="A108" s="1" t="s">
        <v>245</v>
      </c>
      <c r="B108" s="1" t="s">
        <v>42</v>
      </c>
      <c r="C108" s="1" t="s">
        <v>212</v>
      </c>
      <c r="D108" s="1" t="s">
        <v>56</v>
      </c>
      <c r="E108" s="1" t="s">
        <v>57</v>
      </c>
      <c r="F108" s="7">
        <v>46006</v>
      </c>
      <c r="G108" s="1" t="s">
        <v>213</v>
      </c>
      <c r="H108" s="1" t="s">
        <v>23</v>
      </c>
      <c r="I108" s="1" t="s">
        <v>24</v>
      </c>
      <c r="J108" s="3" t="s">
        <v>284</v>
      </c>
    </row>
    <row r="109" spans="1:10" x14ac:dyDescent="0.3">
      <c r="A109" s="1" t="s">
        <v>246</v>
      </c>
      <c r="B109" s="1" t="s">
        <v>63</v>
      </c>
      <c r="C109" s="1" t="s">
        <v>148</v>
      </c>
      <c r="D109" s="1" t="s">
        <v>12</v>
      </c>
      <c r="E109" s="1" t="s">
        <v>39</v>
      </c>
      <c r="F109" s="7">
        <v>46006</v>
      </c>
      <c r="G109" s="1" t="s">
        <v>149</v>
      </c>
      <c r="H109" s="1" t="s">
        <v>23</v>
      </c>
      <c r="I109" s="1" t="s">
        <v>24</v>
      </c>
      <c r="J109" s="3" t="s">
        <v>317</v>
      </c>
    </row>
    <row r="110" spans="1:10" x14ac:dyDescent="0.3">
      <c r="A110" s="1" t="s">
        <v>247</v>
      </c>
      <c r="B110" s="1" t="s">
        <v>88</v>
      </c>
      <c r="C110" s="1" t="s">
        <v>248</v>
      </c>
      <c r="D110" s="1" t="s">
        <v>33</v>
      </c>
      <c r="E110" s="1" t="s">
        <v>13</v>
      </c>
      <c r="F110" s="7">
        <v>46006</v>
      </c>
      <c r="G110" s="1" t="s">
        <v>112</v>
      </c>
      <c r="H110" s="1" t="s">
        <v>23</v>
      </c>
      <c r="I110" s="1" t="s">
        <v>24</v>
      </c>
      <c r="J110" s="3" t="s">
        <v>308</v>
      </c>
    </row>
    <row r="111" spans="1:10" x14ac:dyDescent="0.3">
      <c r="A111" s="1" t="s">
        <v>249</v>
      </c>
      <c r="B111" s="1" t="s">
        <v>10</v>
      </c>
      <c r="C111" s="1" t="s">
        <v>212</v>
      </c>
      <c r="D111" s="1" t="s">
        <v>56</v>
      </c>
      <c r="E111" s="1" t="s">
        <v>13</v>
      </c>
      <c r="F111" s="7">
        <v>46005</v>
      </c>
      <c r="G111" s="1" t="s">
        <v>213</v>
      </c>
      <c r="H111" s="1" t="s">
        <v>23</v>
      </c>
      <c r="I111" s="1" t="s">
        <v>24</v>
      </c>
      <c r="J111" s="3" t="s">
        <v>303</v>
      </c>
    </row>
    <row r="112" spans="1:10" x14ac:dyDescent="0.3">
      <c r="A112" s="1" t="s">
        <v>250</v>
      </c>
      <c r="B112" s="1" t="s">
        <v>37</v>
      </c>
      <c r="C112" s="1" t="s">
        <v>251</v>
      </c>
      <c r="D112" s="1" t="s">
        <v>70</v>
      </c>
      <c r="E112" s="1" t="s">
        <v>39</v>
      </c>
      <c r="F112" s="7">
        <v>46005</v>
      </c>
      <c r="G112" s="1" t="s">
        <v>116</v>
      </c>
      <c r="H112" s="1" t="s">
        <v>23</v>
      </c>
      <c r="I112" s="1" t="s">
        <v>24</v>
      </c>
      <c r="J112" s="3" t="s">
        <v>318</v>
      </c>
    </row>
    <row r="113" spans="1:10" x14ac:dyDescent="0.3">
      <c r="A113" s="1" t="s">
        <v>252</v>
      </c>
      <c r="B113" s="1" t="s">
        <v>46</v>
      </c>
      <c r="C113" s="1" t="s">
        <v>192</v>
      </c>
      <c r="D113" s="1" t="s">
        <v>70</v>
      </c>
      <c r="E113" s="1" t="s">
        <v>39</v>
      </c>
      <c r="F113" s="7">
        <v>46004</v>
      </c>
      <c r="G113" s="1" t="s">
        <v>116</v>
      </c>
      <c r="H113" s="1" t="s">
        <v>23</v>
      </c>
      <c r="I113" s="1" t="s">
        <v>24</v>
      </c>
      <c r="J113" s="3" t="s">
        <v>290</v>
      </c>
    </row>
    <row r="114" spans="1:10" x14ac:dyDescent="0.3">
      <c r="A114" s="1" t="s">
        <v>253</v>
      </c>
      <c r="B114" s="1" t="s">
        <v>168</v>
      </c>
      <c r="C114" s="1" t="s">
        <v>212</v>
      </c>
      <c r="D114" s="1" t="s">
        <v>56</v>
      </c>
      <c r="E114" s="1" t="s">
        <v>21</v>
      </c>
      <c r="F114" s="7">
        <v>46004</v>
      </c>
      <c r="G114" s="1" t="s">
        <v>213</v>
      </c>
      <c r="H114" s="1" t="s">
        <v>23</v>
      </c>
      <c r="I114" s="1" t="s">
        <v>24</v>
      </c>
      <c r="J114" s="3" t="s">
        <v>303</v>
      </c>
    </row>
    <row r="115" spans="1:10" x14ac:dyDescent="0.3">
      <c r="A115" s="1" t="s">
        <v>254</v>
      </c>
      <c r="B115" s="1" t="s">
        <v>66</v>
      </c>
      <c r="C115" s="1" t="s">
        <v>255</v>
      </c>
      <c r="D115" s="1" t="s">
        <v>28</v>
      </c>
      <c r="E115" s="1" t="s">
        <v>39</v>
      </c>
      <c r="F115" s="7">
        <v>46003</v>
      </c>
      <c r="G115" s="1" t="s">
        <v>119</v>
      </c>
      <c r="H115" s="1" t="s">
        <v>23</v>
      </c>
      <c r="I115" s="1" t="s">
        <v>24</v>
      </c>
      <c r="J115" s="3" t="s">
        <v>319</v>
      </c>
    </row>
    <row r="116" spans="1:10" x14ac:dyDescent="0.3">
      <c r="A116" s="1" t="s">
        <v>256</v>
      </c>
      <c r="B116" s="1" t="s">
        <v>46</v>
      </c>
      <c r="C116" s="1" t="s">
        <v>171</v>
      </c>
      <c r="D116" s="1" t="s">
        <v>28</v>
      </c>
      <c r="E116" s="1" t="s">
        <v>34</v>
      </c>
      <c r="F116" s="7">
        <v>46002</v>
      </c>
      <c r="G116" s="1" t="s">
        <v>119</v>
      </c>
      <c r="H116" s="1" t="s">
        <v>23</v>
      </c>
      <c r="I116" s="1" t="s">
        <v>24</v>
      </c>
      <c r="J116" s="3" t="s">
        <v>287</v>
      </c>
    </row>
    <row r="117" spans="1:10" x14ac:dyDescent="0.3">
      <c r="A117" s="1" t="s">
        <v>257</v>
      </c>
      <c r="B117" s="1" t="s">
        <v>92</v>
      </c>
      <c r="C117" s="1" t="s">
        <v>258</v>
      </c>
      <c r="D117" s="1" t="s">
        <v>28</v>
      </c>
      <c r="E117" s="1" t="s">
        <v>13</v>
      </c>
      <c r="F117" s="7">
        <v>46002</v>
      </c>
      <c r="G117" s="1" t="s">
        <v>61</v>
      </c>
      <c r="H117" s="1" t="s">
        <v>23</v>
      </c>
      <c r="I117" s="1" t="s">
        <v>24</v>
      </c>
      <c r="J117" s="3" t="s">
        <v>316</v>
      </c>
    </row>
    <row r="118" spans="1:10" x14ac:dyDescent="0.3">
      <c r="A118" s="1" t="s">
        <v>259</v>
      </c>
      <c r="B118" s="1" t="s">
        <v>102</v>
      </c>
      <c r="C118" s="1" t="s">
        <v>260</v>
      </c>
      <c r="D118" s="1" t="s">
        <v>56</v>
      </c>
      <c r="E118" s="1" t="s">
        <v>34</v>
      </c>
      <c r="F118" s="7">
        <v>46002</v>
      </c>
      <c r="G118" s="1" t="s">
        <v>83</v>
      </c>
      <c r="H118" s="1" t="s">
        <v>23</v>
      </c>
      <c r="I118" s="1" t="s">
        <v>24</v>
      </c>
      <c r="J118" s="3" t="s">
        <v>293</v>
      </c>
    </row>
    <row r="119" spans="1:10" x14ac:dyDescent="0.3">
      <c r="A119" s="1" t="s">
        <v>261</v>
      </c>
      <c r="B119" s="1" t="s">
        <v>10</v>
      </c>
      <c r="C119" s="1" t="s">
        <v>262</v>
      </c>
      <c r="D119" s="1" t="s">
        <v>33</v>
      </c>
      <c r="E119" s="1" t="s">
        <v>39</v>
      </c>
      <c r="F119" s="7">
        <v>46000</v>
      </c>
      <c r="G119" s="1" t="s">
        <v>263</v>
      </c>
      <c r="H119" s="1" t="s">
        <v>23</v>
      </c>
      <c r="I119" s="1" t="s">
        <v>24</v>
      </c>
      <c r="J119" s="3" t="s">
        <v>310</v>
      </c>
    </row>
    <row r="120" spans="1:10" x14ac:dyDescent="0.3">
      <c r="A120" s="1" t="s">
        <v>264</v>
      </c>
      <c r="B120" s="1" t="s">
        <v>102</v>
      </c>
      <c r="C120" s="1" t="s">
        <v>188</v>
      </c>
      <c r="D120" s="1" t="s">
        <v>20</v>
      </c>
      <c r="E120" s="1" t="s">
        <v>39</v>
      </c>
      <c r="F120" s="7">
        <v>45998</v>
      </c>
      <c r="G120" s="1" t="s">
        <v>189</v>
      </c>
      <c r="H120" s="1" t="s">
        <v>23</v>
      </c>
      <c r="I120" s="1" t="s">
        <v>24</v>
      </c>
      <c r="J120" s="3" t="s">
        <v>296</v>
      </c>
    </row>
    <row r="121" spans="1:10" x14ac:dyDescent="0.3">
      <c r="A121" s="1" t="s">
        <v>265</v>
      </c>
      <c r="B121" s="1" t="s">
        <v>168</v>
      </c>
      <c r="C121" s="1" t="s">
        <v>148</v>
      </c>
      <c r="D121" s="1" t="s">
        <v>12</v>
      </c>
      <c r="E121" s="1" t="s">
        <v>13</v>
      </c>
      <c r="F121" s="7">
        <v>45997</v>
      </c>
      <c r="G121" s="1" t="s">
        <v>149</v>
      </c>
      <c r="H121" s="1" t="s">
        <v>23</v>
      </c>
      <c r="I121" s="1" t="s">
        <v>16</v>
      </c>
      <c r="J121" s="3" t="s">
        <v>304</v>
      </c>
    </row>
    <row r="122" spans="1:10" x14ac:dyDescent="0.3">
      <c r="A122" s="1" t="s">
        <v>266</v>
      </c>
      <c r="B122" s="1" t="s">
        <v>63</v>
      </c>
      <c r="C122" s="1" t="s">
        <v>69</v>
      </c>
      <c r="D122" s="1" t="s">
        <v>70</v>
      </c>
      <c r="E122" s="1" t="s">
        <v>57</v>
      </c>
      <c r="F122" s="7">
        <v>45997</v>
      </c>
      <c r="G122" s="1" t="s">
        <v>71</v>
      </c>
      <c r="H122" s="1" t="s">
        <v>23</v>
      </c>
      <c r="I122" s="1" t="s">
        <v>24</v>
      </c>
      <c r="J122" s="3" t="s">
        <v>312</v>
      </c>
    </row>
    <row r="123" spans="1:10" x14ac:dyDescent="0.3">
      <c r="A123" s="1" t="s">
        <v>267</v>
      </c>
      <c r="B123" s="1" t="s">
        <v>73</v>
      </c>
      <c r="C123" s="1" t="s">
        <v>95</v>
      </c>
      <c r="D123" s="1" t="s">
        <v>28</v>
      </c>
      <c r="E123" s="1" t="s">
        <v>34</v>
      </c>
      <c r="F123" s="7">
        <v>45997</v>
      </c>
      <c r="G123" s="1" t="s">
        <v>96</v>
      </c>
      <c r="H123" s="1" t="s">
        <v>23</v>
      </c>
      <c r="I123" s="1" t="s">
        <v>24</v>
      </c>
      <c r="J123" s="3" t="s">
        <v>282</v>
      </c>
    </row>
    <row r="124" spans="1:10" x14ac:dyDescent="0.3">
      <c r="A124" s="1" t="s">
        <v>268</v>
      </c>
      <c r="B124" s="1" t="s">
        <v>18</v>
      </c>
      <c r="C124" s="1" t="s">
        <v>123</v>
      </c>
      <c r="D124" s="1" t="s">
        <v>70</v>
      </c>
      <c r="E124" s="1" t="s">
        <v>39</v>
      </c>
      <c r="F124" s="7">
        <v>45997</v>
      </c>
      <c r="G124" s="1" t="s">
        <v>124</v>
      </c>
      <c r="H124" s="1" t="s">
        <v>23</v>
      </c>
      <c r="I124" s="1" t="s">
        <v>24</v>
      </c>
      <c r="J124" s="3" t="s">
        <v>298</v>
      </c>
    </row>
    <row r="125" spans="1:10" x14ac:dyDescent="0.3">
      <c r="A125" s="1" t="s">
        <v>269</v>
      </c>
      <c r="B125" s="1" t="s">
        <v>46</v>
      </c>
      <c r="C125" s="1" t="s">
        <v>237</v>
      </c>
      <c r="D125" s="1" t="s">
        <v>51</v>
      </c>
      <c r="E125" s="1" t="s">
        <v>13</v>
      </c>
      <c r="F125" s="7">
        <v>45997</v>
      </c>
      <c r="G125" s="1" t="s">
        <v>238</v>
      </c>
      <c r="H125" s="1" t="s">
        <v>53</v>
      </c>
      <c r="I125" s="1" t="s">
        <v>24</v>
      </c>
      <c r="J125" s="3" t="s">
        <v>313</v>
      </c>
    </row>
    <row r="126" spans="1:10" x14ac:dyDescent="0.3">
      <c r="A126" s="1" t="s">
        <v>270</v>
      </c>
      <c r="B126" s="1" t="s">
        <v>107</v>
      </c>
      <c r="C126" s="1" t="s">
        <v>99</v>
      </c>
      <c r="D126" s="1" t="s">
        <v>28</v>
      </c>
      <c r="E126" s="1" t="s">
        <v>21</v>
      </c>
      <c r="F126" s="7">
        <v>45996</v>
      </c>
      <c r="G126" s="1" t="s">
        <v>100</v>
      </c>
      <c r="H126" s="1" t="s">
        <v>23</v>
      </c>
      <c r="I126" s="1" t="s">
        <v>24</v>
      </c>
      <c r="J126" s="3" t="s">
        <v>316</v>
      </c>
    </row>
    <row r="127" spans="1:10" x14ac:dyDescent="0.3">
      <c r="A127" s="1" t="s">
        <v>271</v>
      </c>
      <c r="B127" s="1" t="s">
        <v>114</v>
      </c>
      <c r="C127" s="1" t="s">
        <v>182</v>
      </c>
      <c r="D127" s="1" t="s">
        <v>56</v>
      </c>
      <c r="E127" s="1" t="s">
        <v>39</v>
      </c>
      <c r="F127" s="7">
        <v>45994</v>
      </c>
      <c r="G127" s="1" t="s">
        <v>179</v>
      </c>
      <c r="H127" s="1" t="s">
        <v>23</v>
      </c>
      <c r="I127" s="1" t="s">
        <v>24</v>
      </c>
      <c r="J127" s="3" t="s">
        <v>284</v>
      </c>
    </row>
    <row r="128" spans="1:10" x14ac:dyDescent="0.3">
      <c r="A128" s="1" t="s">
        <v>272</v>
      </c>
      <c r="B128" s="1" t="s">
        <v>77</v>
      </c>
      <c r="C128" s="1" t="s">
        <v>273</v>
      </c>
      <c r="D128" s="1" t="s">
        <v>12</v>
      </c>
      <c r="E128" s="1" t="s">
        <v>34</v>
      </c>
      <c r="F128" s="7">
        <v>45993</v>
      </c>
      <c r="G128" s="1" t="s">
        <v>14</v>
      </c>
      <c r="H128" s="1" t="s">
        <v>15</v>
      </c>
      <c r="I128" s="1" t="s">
        <v>24</v>
      </c>
      <c r="J128" s="3" t="s">
        <v>282</v>
      </c>
    </row>
    <row r="129" spans="1:10" x14ac:dyDescent="0.3">
      <c r="A129" s="1" t="s">
        <v>274</v>
      </c>
      <c r="B129" s="1" t="s">
        <v>31</v>
      </c>
      <c r="C129" s="1" t="s">
        <v>275</v>
      </c>
      <c r="D129" s="1" t="s">
        <v>56</v>
      </c>
      <c r="E129" s="1" t="s">
        <v>34</v>
      </c>
      <c r="F129" s="7">
        <v>45992</v>
      </c>
      <c r="G129" s="1" t="s">
        <v>179</v>
      </c>
      <c r="H129" s="1" t="s">
        <v>23</v>
      </c>
      <c r="I129" s="1" t="s">
        <v>24</v>
      </c>
      <c r="J129" s="3" t="s">
        <v>291</v>
      </c>
    </row>
    <row r="130" spans="1:10" x14ac:dyDescent="0.3">
      <c r="A130" s="1" t="s">
        <v>276</v>
      </c>
      <c r="B130" s="1" t="s">
        <v>31</v>
      </c>
      <c r="C130" s="1" t="s">
        <v>128</v>
      </c>
      <c r="D130" s="1" t="s">
        <v>28</v>
      </c>
      <c r="E130" s="1" t="s">
        <v>21</v>
      </c>
      <c r="F130" s="7">
        <v>45992</v>
      </c>
      <c r="G130" s="1" t="s">
        <v>61</v>
      </c>
      <c r="H130" s="1" t="s">
        <v>23</v>
      </c>
      <c r="I130" s="1" t="s">
        <v>24</v>
      </c>
      <c r="J130" s="3" t="s">
        <v>316</v>
      </c>
    </row>
    <row r="131" spans="1:10" x14ac:dyDescent="0.3">
      <c r="A131" s="1" t="s">
        <v>277</v>
      </c>
      <c r="B131" s="1" t="s">
        <v>107</v>
      </c>
      <c r="C131" s="1" t="s">
        <v>67</v>
      </c>
      <c r="D131" s="1" t="s">
        <v>20</v>
      </c>
      <c r="E131" s="1" t="s">
        <v>13</v>
      </c>
      <c r="F131" s="7">
        <v>45992</v>
      </c>
      <c r="G131" s="1" t="s">
        <v>22</v>
      </c>
      <c r="H131" s="1" t="s">
        <v>23</v>
      </c>
      <c r="I131" s="1" t="s">
        <v>16</v>
      </c>
      <c r="J131" s="3" t="s">
        <v>319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8882-416D-4EED-8B84-495EAC86BFBF}">
  <dimension ref="A1:E21"/>
  <sheetViews>
    <sheetView workbookViewId="0">
      <selection activeCell="F14" sqref="F14"/>
    </sheetView>
  </sheetViews>
  <sheetFormatPr defaultRowHeight="14.4" x14ac:dyDescent="0.3"/>
  <cols>
    <col min="1" max="1" width="9.77734375" bestFit="1" customWidth="1"/>
    <col min="2" max="2" width="15" bestFit="1" customWidth="1"/>
    <col min="3" max="3" width="14.6640625" bestFit="1" customWidth="1"/>
    <col min="4" max="4" width="11.44140625" bestFit="1" customWidth="1"/>
    <col min="5" max="5" width="16.33203125" bestFit="1" customWidth="1"/>
  </cols>
  <sheetData>
    <row r="1" spans="1:5" ht="15.6" x14ac:dyDescent="0.3">
      <c r="A1" s="5" t="s">
        <v>1</v>
      </c>
      <c r="B1" s="5" t="s">
        <v>320</v>
      </c>
      <c r="C1" s="5" t="s">
        <v>345</v>
      </c>
      <c r="D1" s="5" t="s">
        <v>321</v>
      </c>
      <c r="E1" s="5" t="s">
        <v>322</v>
      </c>
    </row>
    <row r="2" spans="1:5" x14ac:dyDescent="0.3">
      <c r="A2" t="str" cm="1">
        <f t="array" ref="A2:A21">_xlfn._xlws.SORT(_xlfn.UNIQUE('JobsPikr Raw Data'!B2:B131))</f>
        <v>BharatPe</v>
      </c>
      <c r="B2">
        <f>COUNTIFS('JobsPikr Raw Data'!$B:$B,$A2,'JobsPikr Raw Data'!$F:$F,"&gt;="&amp;DATE(2025,12,1),'JobsPikr Raw Data'!$F:$F,"&lt;"&amp;DATE(2026,1,1))</f>
        <v>3</v>
      </c>
      <c r="C2">
        <f>COUNTIFS('JobsPikr Raw Data'!$B:$B,$A2,'JobsPikr Raw Data'!$F:$F,"&gt;="&amp;DATE(2026,1,1),'JobsPikr Raw Data'!$F:$F,"&lt;"&amp;DATE(2026,2,1))</f>
        <v>2</v>
      </c>
      <c r="D2" s="9">
        <f>IF(B2=0,"-",C2/B2)</f>
        <v>0.66666666666666663</v>
      </c>
      <c r="E2" t="str">
        <f>IF(D2&gt;=2,"High Momentum",IF(D2&gt;=1.2,"Moderate Growth","Stable/Declining"))</f>
        <v>Stable/Declining</v>
      </c>
    </row>
    <row r="3" spans="1:5" x14ac:dyDescent="0.3">
      <c r="A3" t="str">
        <v>Cred</v>
      </c>
      <c r="B3">
        <f>COUNTIFS('JobsPikr Raw Data'!$B:$B,$A3,'JobsPikr Raw Data'!$F:$F,"&gt;="&amp;DATE(2025,12,1),'JobsPikr Raw Data'!$F:$F,"&lt;"&amp;DATE(2026,1,1))</f>
        <v>3</v>
      </c>
      <c r="C3">
        <f>COUNTIFS('JobsPikr Raw Data'!$B:$B,$A3,'JobsPikr Raw Data'!$F:$F,"&gt;="&amp;DATE(2026,1,1),'JobsPikr Raw Data'!$F:$F,"&lt;"&amp;DATE(2026,2,1))</f>
        <v>8</v>
      </c>
      <c r="D3" s="9">
        <f t="shared" ref="D3:D21" si="0">IF(B3=0,"-",C3/B3)</f>
        <v>2.6666666666666665</v>
      </c>
      <c r="E3" t="str">
        <f t="shared" ref="E3:E21" si="1">IF(D3&gt;=2,"High Momentum",IF(D3&gt;=1.2,"Moderate Growth","Stable/Declining"))</f>
        <v>High Momentum</v>
      </c>
    </row>
    <row r="4" spans="1:5" x14ac:dyDescent="0.3">
      <c r="A4" t="str">
        <v>EarlySalary</v>
      </c>
      <c r="B4">
        <f>COUNTIFS('JobsPikr Raw Data'!$B:$B,$A4,'JobsPikr Raw Data'!$F:$F,"&gt;="&amp;DATE(2025,12,1),'JobsPikr Raw Data'!$F:$F,"&lt;"&amp;DATE(2026,1,1))</f>
        <v>2</v>
      </c>
      <c r="C4">
        <f>COUNTIFS('JobsPikr Raw Data'!$B:$B,$A4,'JobsPikr Raw Data'!$F:$F,"&gt;="&amp;DATE(2026,1,1),'JobsPikr Raw Data'!$F:$F,"&lt;"&amp;DATE(2026,2,1))</f>
        <v>3</v>
      </c>
      <c r="D4" s="9">
        <f t="shared" si="0"/>
        <v>1.5</v>
      </c>
      <c r="E4" t="str">
        <f t="shared" si="1"/>
        <v>Moderate Growth</v>
      </c>
    </row>
    <row r="5" spans="1:5" x14ac:dyDescent="0.3">
      <c r="A5" t="str">
        <v>FamPay</v>
      </c>
      <c r="B5">
        <f>COUNTIFS('JobsPikr Raw Data'!$B:$B,$A5,'JobsPikr Raw Data'!$F:$F,"&gt;="&amp;DATE(2025,12,1),'JobsPikr Raw Data'!$F:$F,"&lt;"&amp;DATE(2026,1,1))</f>
        <v>3</v>
      </c>
      <c r="C5">
        <f>COUNTIFS('JobsPikr Raw Data'!$B:$B,$A5,'JobsPikr Raw Data'!$F:$F,"&gt;="&amp;DATE(2026,1,1),'JobsPikr Raw Data'!$F:$F,"&lt;"&amp;DATE(2026,2,1))</f>
        <v>2</v>
      </c>
      <c r="D5" s="9">
        <f t="shared" si="0"/>
        <v>0.66666666666666663</v>
      </c>
      <c r="E5" t="str">
        <f t="shared" si="1"/>
        <v>Stable/Declining</v>
      </c>
    </row>
    <row r="6" spans="1:5" x14ac:dyDescent="0.3">
      <c r="A6" t="str">
        <v>FlexiLoans</v>
      </c>
      <c r="B6">
        <f>COUNTIFS('JobsPikr Raw Data'!$B:$B,$A6,'JobsPikr Raw Data'!$F:$F,"&gt;="&amp;DATE(2025,12,1),'JobsPikr Raw Data'!$F:$F,"&lt;"&amp;DATE(2026,1,1))</f>
        <v>3</v>
      </c>
      <c r="C6">
        <f>COUNTIFS('JobsPikr Raw Data'!$B:$B,$A6,'JobsPikr Raw Data'!$F:$F,"&gt;="&amp;DATE(2026,1,1),'JobsPikr Raw Data'!$F:$F,"&lt;"&amp;DATE(2026,2,1))</f>
        <v>3</v>
      </c>
      <c r="D6" s="9">
        <f t="shared" si="0"/>
        <v>1</v>
      </c>
      <c r="E6" t="str">
        <f t="shared" si="1"/>
        <v>Stable/Declining</v>
      </c>
    </row>
    <row r="7" spans="1:5" x14ac:dyDescent="0.3">
      <c r="A7" t="str">
        <v>Jupiter</v>
      </c>
      <c r="B7">
        <f>COUNTIFS('JobsPikr Raw Data'!$B:$B,$A7,'JobsPikr Raw Data'!$F:$F,"&gt;="&amp;DATE(2025,12,1),'JobsPikr Raw Data'!$F:$F,"&lt;"&amp;DATE(2026,1,1))</f>
        <v>2</v>
      </c>
      <c r="C7">
        <f>COUNTIFS('JobsPikr Raw Data'!$B:$B,$A7,'JobsPikr Raw Data'!$F:$F,"&gt;="&amp;DATE(2026,1,1),'JobsPikr Raw Data'!$F:$F,"&lt;"&amp;DATE(2026,2,1))</f>
        <v>6</v>
      </c>
      <c r="D7" s="9">
        <f t="shared" si="0"/>
        <v>3</v>
      </c>
      <c r="E7" t="str">
        <f t="shared" si="1"/>
        <v>High Momentum</v>
      </c>
    </row>
    <row r="8" spans="1:5" x14ac:dyDescent="0.3">
      <c r="A8" t="str">
        <v>KreditBee</v>
      </c>
      <c r="B8">
        <f>COUNTIFS('JobsPikr Raw Data'!$B:$B,$A8,'JobsPikr Raw Data'!$F:$F,"&gt;="&amp;DATE(2025,12,1),'JobsPikr Raw Data'!$F:$F,"&lt;"&amp;DATE(2026,1,1))</f>
        <v>2</v>
      </c>
      <c r="C8">
        <f>COUNTIFS('JobsPikr Raw Data'!$B:$B,$A8,'JobsPikr Raw Data'!$F:$F,"&gt;="&amp;DATE(2026,1,1),'JobsPikr Raw Data'!$F:$F,"&lt;"&amp;DATE(2026,2,1))</f>
        <v>3</v>
      </c>
      <c r="D8" s="9">
        <f t="shared" si="0"/>
        <v>1.5</v>
      </c>
      <c r="E8" t="str">
        <f t="shared" si="1"/>
        <v>Moderate Growth</v>
      </c>
    </row>
    <row r="9" spans="1:5" x14ac:dyDescent="0.3">
      <c r="A9" t="str">
        <v>Lendingkart</v>
      </c>
      <c r="B9">
        <f>COUNTIFS('JobsPikr Raw Data'!$B:$B,$A9,'JobsPikr Raw Data'!$F:$F,"&gt;="&amp;DATE(2025,12,1),'JobsPikr Raw Data'!$F:$F,"&lt;"&amp;DATE(2026,1,1))</f>
        <v>2</v>
      </c>
      <c r="C9">
        <f>COUNTIFS('JobsPikr Raw Data'!$B:$B,$A9,'JobsPikr Raw Data'!$F:$F,"&gt;="&amp;DATE(2026,1,1),'JobsPikr Raw Data'!$F:$F,"&lt;"&amp;DATE(2026,2,1))</f>
        <v>3</v>
      </c>
      <c r="D9" s="9">
        <f t="shared" si="0"/>
        <v>1.5</v>
      </c>
      <c r="E9" t="str">
        <f t="shared" si="1"/>
        <v>Moderate Growth</v>
      </c>
    </row>
    <row r="10" spans="1:5" x14ac:dyDescent="0.3">
      <c r="A10" t="str">
        <v>MobiKwik</v>
      </c>
      <c r="B10">
        <f>COUNTIFS('JobsPikr Raw Data'!$B:$B,$A10,'JobsPikr Raw Data'!$F:$F,"&gt;="&amp;DATE(2025,12,1),'JobsPikr Raw Data'!$F:$F,"&lt;"&amp;DATE(2026,1,1))</f>
        <v>3</v>
      </c>
      <c r="C10">
        <f>COUNTIFS('JobsPikr Raw Data'!$B:$B,$A10,'JobsPikr Raw Data'!$F:$F,"&gt;="&amp;DATE(2026,1,1),'JobsPikr Raw Data'!$F:$F,"&lt;"&amp;DATE(2026,2,1))</f>
        <v>2</v>
      </c>
      <c r="D10" s="9">
        <f t="shared" si="0"/>
        <v>0.66666666666666663</v>
      </c>
      <c r="E10" t="str">
        <f t="shared" si="1"/>
        <v>Stable/Declining</v>
      </c>
    </row>
    <row r="11" spans="1:5" x14ac:dyDescent="0.3">
      <c r="A11" t="str">
        <v>MoneyTap</v>
      </c>
      <c r="B11">
        <f>COUNTIFS('JobsPikr Raw Data'!$B:$B,$A11,'JobsPikr Raw Data'!$F:$F,"&gt;="&amp;DATE(2025,12,1),'JobsPikr Raw Data'!$F:$F,"&lt;"&amp;DATE(2026,1,1))</f>
        <v>2</v>
      </c>
      <c r="C11">
        <f>COUNTIFS('JobsPikr Raw Data'!$B:$B,$A11,'JobsPikr Raw Data'!$F:$F,"&gt;="&amp;DATE(2026,1,1),'JobsPikr Raw Data'!$F:$F,"&lt;"&amp;DATE(2026,2,1))</f>
        <v>3</v>
      </c>
      <c r="D11" s="9">
        <f t="shared" si="0"/>
        <v>1.5</v>
      </c>
      <c r="E11" t="str">
        <f t="shared" si="1"/>
        <v>Moderate Growth</v>
      </c>
    </row>
    <row r="12" spans="1:5" x14ac:dyDescent="0.3">
      <c r="A12" t="str">
        <v>Navi</v>
      </c>
      <c r="B12">
        <f>COUNTIFS('JobsPikr Raw Data'!$B:$B,$A12,'JobsPikr Raw Data'!$F:$F,"&gt;="&amp;DATE(2025,12,1),'JobsPikr Raw Data'!$F:$F,"&lt;"&amp;DATE(2026,1,1))</f>
        <v>4</v>
      </c>
      <c r="C12">
        <f>COUNTIFS('JobsPikr Raw Data'!$B:$B,$A12,'JobsPikr Raw Data'!$F:$F,"&gt;="&amp;DATE(2026,1,1),'JobsPikr Raw Data'!$F:$F,"&lt;"&amp;DATE(2026,2,1))</f>
        <v>8</v>
      </c>
      <c r="D12" s="9">
        <f t="shared" si="0"/>
        <v>2</v>
      </c>
      <c r="E12" t="str">
        <f t="shared" si="1"/>
        <v>High Momentum</v>
      </c>
    </row>
    <row r="13" spans="1:5" x14ac:dyDescent="0.3">
      <c r="A13" t="str">
        <v>Open</v>
      </c>
      <c r="B13">
        <f>COUNTIFS('JobsPikr Raw Data'!$B:$B,$A13,'JobsPikr Raw Data'!$F:$F,"&gt;="&amp;DATE(2025,12,1),'JobsPikr Raw Data'!$F:$F,"&lt;"&amp;DATE(2026,1,1))</f>
        <v>2</v>
      </c>
      <c r="C13">
        <f>COUNTIFS('JobsPikr Raw Data'!$B:$B,$A13,'JobsPikr Raw Data'!$F:$F,"&gt;="&amp;DATE(2026,1,1),'JobsPikr Raw Data'!$F:$F,"&lt;"&amp;DATE(2026,2,1))</f>
        <v>3</v>
      </c>
      <c r="D13" s="9">
        <f t="shared" si="0"/>
        <v>1.5</v>
      </c>
      <c r="E13" t="str">
        <f t="shared" si="1"/>
        <v>Moderate Growth</v>
      </c>
    </row>
    <row r="14" spans="1:5" x14ac:dyDescent="0.3">
      <c r="A14" t="str">
        <v>Paytm</v>
      </c>
      <c r="B14">
        <f>COUNTIFS('JobsPikr Raw Data'!$B:$B,$A14,'JobsPikr Raw Data'!$F:$F,"&gt;="&amp;DATE(2025,12,1),'JobsPikr Raw Data'!$F:$F,"&lt;"&amp;DATE(2026,1,1))</f>
        <v>3</v>
      </c>
      <c r="C14">
        <f>COUNTIFS('JobsPikr Raw Data'!$B:$B,$A14,'JobsPikr Raw Data'!$F:$F,"&gt;="&amp;DATE(2026,1,1),'JobsPikr Raw Data'!$F:$F,"&lt;"&amp;DATE(2026,2,1))</f>
        <v>3</v>
      </c>
      <c r="D14" s="9">
        <f t="shared" si="0"/>
        <v>1</v>
      </c>
      <c r="E14" t="str">
        <f t="shared" si="1"/>
        <v>Stable/Declining</v>
      </c>
    </row>
    <row r="15" spans="1:5" x14ac:dyDescent="0.3">
      <c r="A15" t="str">
        <v>PhonePe</v>
      </c>
      <c r="B15">
        <f>COUNTIFS('JobsPikr Raw Data'!$B:$B,$A15,'JobsPikr Raw Data'!$F:$F,"&gt;="&amp;DATE(2025,12,1),'JobsPikr Raw Data'!$F:$F,"&lt;"&amp;DATE(2026,1,1))</f>
        <v>2</v>
      </c>
      <c r="C15">
        <f>COUNTIFS('JobsPikr Raw Data'!$B:$B,$A15,'JobsPikr Raw Data'!$F:$F,"&gt;="&amp;DATE(2026,1,1),'JobsPikr Raw Data'!$F:$F,"&lt;"&amp;DATE(2026,2,1))</f>
        <v>3</v>
      </c>
      <c r="D15" s="9">
        <f t="shared" si="0"/>
        <v>1.5</v>
      </c>
      <c r="E15" t="str">
        <f t="shared" si="1"/>
        <v>Moderate Growth</v>
      </c>
    </row>
    <row r="16" spans="1:5" x14ac:dyDescent="0.3">
      <c r="A16" t="str">
        <v>Pine Labs</v>
      </c>
      <c r="B16">
        <f>COUNTIFS('JobsPikr Raw Data'!$B:$B,$A16,'JobsPikr Raw Data'!$F:$F,"&gt;="&amp;DATE(2025,12,1),'JobsPikr Raw Data'!$F:$F,"&lt;"&amp;DATE(2026,1,1))</f>
        <v>2</v>
      </c>
      <c r="C16">
        <f>COUNTIFS('JobsPikr Raw Data'!$B:$B,$A16,'JobsPikr Raw Data'!$F:$F,"&gt;="&amp;DATE(2026,1,1),'JobsPikr Raw Data'!$F:$F,"&lt;"&amp;DATE(2026,2,1))</f>
        <v>6</v>
      </c>
      <c r="D16" s="9">
        <f t="shared" si="0"/>
        <v>3</v>
      </c>
      <c r="E16" t="str">
        <f t="shared" si="1"/>
        <v>High Momentum</v>
      </c>
    </row>
    <row r="17" spans="1:5" x14ac:dyDescent="0.3">
      <c r="A17" t="str">
        <v>Razorpay</v>
      </c>
      <c r="B17">
        <f>COUNTIFS('JobsPikr Raw Data'!$B:$B,$A17,'JobsPikr Raw Data'!$F:$F,"&gt;="&amp;DATE(2025,12,1),'JobsPikr Raw Data'!$F:$F,"&lt;"&amp;DATE(2026,1,1))</f>
        <v>4</v>
      </c>
      <c r="C17">
        <f>COUNTIFS('JobsPikr Raw Data'!$B:$B,$A17,'JobsPikr Raw Data'!$F:$F,"&gt;="&amp;DATE(2026,1,1),'JobsPikr Raw Data'!$F:$F,"&lt;"&amp;DATE(2026,2,1))</f>
        <v>9</v>
      </c>
      <c r="D17" s="9">
        <f t="shared" si="0"/>
        <v>2.25</v>
      </c>
      <c r="E17" t="str">
        <f t="shared" si="1"/>
        <v>High Momentum</v>
      </c>
    </row>
    <row r="18" spans="1:5" x14ac:dyDescent="0.3">
      <c r="A18" t="str">
        <v>Simpl</v>
      </c>
      <c r="B18">
        <f>COUNTIFS('JobsPikr Raw Data'!$B:$B,$A18,'JobsPikr Raw Data'!$F:$F,"&gt;="&amp;DATE(2025,12,1),'JobsPikr Raw Data'!$F:$F,"&lt;"&amp;DATE(2026,1,1))</f>
        <v>3</v>
      </c>
      <c r="C18">
        <f>COUNTIFS('JobsPikr Raw Data'!$B:$B,$A18,'JobsPikr Raw Data'!$F:$F,"&gt;="&amp;DATE(2026,1,1),'JobsPikr Raw Data'!$F:$F,"&lt;"&amp;DATE(2026,2,1))</f>
        <v>2</v>
      </c>
      <c r="D18" s="9">
        <f t="shared" si="0"/>
        <v>0.66666666666666663</v>
      </c>
      <c r="E18" t="str">
        <f t="shared" si="1"/>
        <v>Stable/Declining</v>
      </c>
    </row>
    <row r="19" spans="1:5" x14ac:dyDescent="0.3">
      <c r="A19" t="str">
        <v>Slice</v>
      </c>
      <c r="B19">
        <f>COUNTIFS('JobsPikr Raw Data'!$B:$B,$A19,'JobsPikr Raw Data'!$F:$F,"&gt;="&amp;DATE(2025,12,1),'JobsPikr Raw Data'!$F:$F,"&lt;"&amp;DATE(2026,1,1))</f>
        <v>2</v>
      </c>
      <c r="C19">
        <f>COUNTIFS('JobsPikr Raw Data'!$B:$B,$A19,'JobsPikr Raw Data'!$F:$F,"&gt;="&amp;DATE(2026,1,1),'JobsPikr Raw Data'!$F:$F,"&lt;"&amp;DATE(2026,2,1))</f>
        <v>3</v>
      </c>
      <c r="D19" s="9">
        <f t="shared" si="0"/>
        <v>1.5</v>
      </c>
      <c r="E19" t="str">
        <f t="shared" si="1"/>
        <v>Moderate Growth</v>
      </c>
    </row>
    <row r="20" spans="1:5" x14ac:dyDescent="0.3">
      <c r="A20" t="str">
        <v>Uni Cards</v>
      </c>
      <c r="B20">
        <f>COUNTIFS('JobsPikr Raw Data'!$B:$B,$A20,'JobsPikr Raw Data'!$F:$F,"&gt;="&amp;DATE(2025,12,1),'JobsPikr Raw Data'!$F:$F,"&lt;"&amp;DATE(2026,1,1))</f>
        <v>2</v>
      </c>
      <c r="C20">
        <f>COUNTIFS('JobsPikr Raw Data'!$B:$B,$A20,'JobsPikr Raw Data'!$F:$F,"&gt;="&amp;DATE(2026,1,1),'JobsPikr Raw Data'!$F:$F,"&lt;"&amp;DATE(2026,2,1))</f>
        <v>3</v>
      </c>
      <c r="D20" s="9">
        <f t="shared" si="0"/>
        <v>1.5</v>
      </c>
      <c r="E20" t="str">
        <f t="shared" si="1"/>
        <v>Moderate Growth</v>
      </c>
    </row>
    <row r="21" spans="1:5" x14ac:dyDescent="0.3">
      <c r="A21" t="str">
        <v>ZestMoney</v>
      </c>
      <c r="B21">
        <f>COUNTIFS('JobsPikr Raw Data'!$B:$B,$A21,'JobsPikr Raw Data'!$F:$F,"&gt;="&amp;DATE(2025,12,1),'JobsPikr Raw Data'!$F:$F,"&lt;"&amp;DATE(2026,1,1))</f>
        <v>3</v>
      </c>
      <c r="C21">
        <f>COUNTIFS('JobsPikr Raw Data'!$B:$B,$A21,'JobsPikr Raw Data'!$F:$F,"&gt;="&amp;DATE(2026,1,1),'JobsPikr Raw Data'!$F:$F,"&lt;"&amp;DATE(2026,2,1))</f>
        <v>3</v>
      </c>
      <c r="D21" s="9">
        <f t="shared" si="0"/>
        <v>1</v>
      </c>
      <c r="E21" t="str">
        <f t="shared" si="1"/>
        <v>Stable/Declining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257B-5260-415B-8A75-8E708D9DF2AB}">
  <dimension ref="A1:M27"/>
  <sheetViews>
    <sheetView tabSelected="1" workbookViewId="0">
      <selection activeCell="D3" sqref="D3"/>
    </sheetView>
  </sheetViews>
  <sheetFormatPr defaultRowHeight="14.4" x14ac:dyDescent="0.3"/>
  <cols>
    <col min="1" max="2" width="10.44140625" bestFit="1" customWidth="1"/>
    <col min="3" max="3" width="20.44140625" bestFit="1" customWidth="1"/>
    <col min="4" max="4" width="22.5546875" bestFit="1" customWidth="1"/>
    <col min="5" max="5" width="14.109375" bestFit="1" customWidth="1"/>
    <col min="6" max="6" width="18.5546875" bestFit="1" customWidth="1"/>
    <col min="10" max="10" width="16.33203125" bestFit="1" customWidth="1"/>
    <col min="11" max="11" width="19.77734375" bestFit="1" customWidth="1"/>
    <col min="12" max="12" width="7" bestFit="1" customWidth="1"/>
    <col min="13" max="13" width="42" bestFit="1" customWidth="1"/>
  </cols>
  <sheetData>
    <row r="1" spans="1:13" ht="15.6" x14ac:dyDescent="0.3">
      <c r="A1" s="4" t="s">
        <v>1</v>
      </c>
      <c r="B1" s="4" t="s">
        <v>323</v>
      </c>
      <c r="C1" s="4" t="s">
        <v>324</v>
      </c>
      <c r="D1" s="4" t="s">
        <v>325</v>
      </c>
      <c r="E1" s="4" t="s">
        <v>337</v>
      </c>
      <c r="F1" s="4" t="s">
        <v>342</v>
      </c>
    </row>
    <row r="2" spans="1:13" x14ac:dyDescent="0.3">
      <c r="A2" t="str" cm="1">
        <f t="array" ref="A2:A21">_xlfn._xlws.SORT(_xlfn.UNIQUE('JobsPikr Raw Data'!B2:B131))</f>
        <v>BharatPe</v>
      </c>
      <c r="B2">
        <f>COUNTIF('JobsPikr Raw Data'!B:B, A2)</f>
        <v>5</v>
      </c>
      <c r="C2" s="9" cm="1">
        <f t="array" ref="C2">AVERAGE(IF('JobsPikr Raw Data'!$B$2:$B$131=$A2,_xlfn.XLOOKUP('JobsPikr Raw Data'!$D$2:$D$131,$K$5:$K$11,$L$5:$L$11,40),""))</f>
        <v>62</v>
      </c>
      <c r="D2" s="13">
        <f>ROUND(C2,0)</f>
        <v>62</v>
      </c>
      <c r="E2">
        <f>_xlfn.XLOOKUP(_xlfn.XLOOKUP(A2,'Hiring Velocity'!$A$2:$A$21,'Hiring Velocity'!$E$2:$E$21),$J$20:$J$22,$K$20:$K$22,0)</f>
        <v>30</v>
      </c>
      <c r="F2">
        <f>ROUND(0.5*E2 + 0.5*D2,0)</f>
        <v>46</v>
      </c>
    </row>
    <row r="3" spans="1:13" x14ac:dyDescent="0.3">
      <c r="A3" t="str">
        <v>Cred</v>
      </c>
      <c r="B3">
        <f>COUNTIF('JobsPikr Raw Data'!B:B, A3)</f>
        <v>11</v>
      </c>
      <c r="C3" s="9" cm="1">
        <f t="array" ref="C3">AVERAGE(IF('JobsPikr Raw Data'!$B$2:$B$131=$A3,_xlfn.XLOOKUP('JobsPikr Raw Data'!$D$2:$D$131,$K$5:$K$11,$L$5:$L$11,40),""))</f>
        <v>85</v>
      </c>
      <c r="D3" s="13">
        <f t="shared" ref="D3:D21" si="0">ROUND(C3,0)</f>
        <v>85</v>
      </c>
      <c r="E3">
        <f>_xlfn.XLOOKUP(_xlfn.XLOOKUP(A3,'Hiring Velocity'!$A$2:$A$21,'Hiring Velocity'!$E$2:$E$21),$J$20:$J$22,$K$20:$K$22,0)</f>
        <v>100</v>
      </c>
      <c r="F3">
        <f>ROUND(0.5*E3 + 0.5*D3,0)</f>
        <v>93</v>
      </c>
      <c r="J3" s="11"/>
      <c r="K3" s="11"/>
      <c r="L3" s="12" t="s">
        <v>335</v>
      </c>
      <c r="M3" s="11"/>
    </row>
    <row r="4" spans="1:13" x14ac:dyDescent="0.3">
      <c r="A4" t="str">
        <v>EarlySalary</v>
      </c>
      <c r="B4">
        <f>COUNTIF('JobsPikr Raw Data'!B:B, A4)</f>
        <v>5</v>
      </c>
      <c r="C4" s="9" cm="1">
        <f t="array" ref="C4">AVERAGE(IF('JobsPikr Raw Data'!$B$2:$B$131=$A4,_xlfn.XLOOKUP('JobsPikr Raw Data'!$D$2:$D$131,$K$5:$K$11,$L$5:$L$11,40),""))</f>
        <v>77</v>
      </c>
      <c r="D4" s="13">
        <f t="shared" si="0"/>
        <v>77</v>
      </c>
      <c r="E4">
        <f>_xlfn.XLOOKUP(_xlfn.XLOOKUP(A4,'Hiring Velocity'!$A$2:$A$21,'Hiring Velocity'!$E$2:$E$21),$J$20:$J$22,$K$20:$K$22,0)</f>
        <v>70</v>
      </c>
      <c r="F4">
        <f>ROUND(0.5*E4 + 0.5*D4,0)</f>
        <v>74</v>
      </c>
      <c r="K4" s="2" t="s">
        <v>326</v>
      </c>
      <c r="L4" s="2" t="s">
        <v>327</v>
      </c>
      <c r="M4" s="2" t="s">
        <v>328</v>
      </c>
    </row>
    <row r="5" spans="1:13" x14ac:dyDescent="0.3">
      <c r="A5" t="str">
        <v>FamPay</v>
      </c>
      <c r="B5">
        <f>COUNTIF('JobsPikr Raw Data'!B:B, A5)</f>
        <v>5</v>
      </c>
      <c r="C5" s="9" cm="1">
        <f t="array" ref="C5">AVERAGE(IF('JobsPikr Raw Data'!$B$2:$B$131=$A5,_xlfn.XLOOKUP('JobsPikr Raw Data'!$D$2:$D$131,$K$5:$K$11,$L$5:$L$11,40),""))</f>
        <v>48</v>
      </c>
      <c r="D5" s="13">
        <f t="shared" si="0"/>
        <v>48</v>
      </c>
      <c r="E5">
        <f>_xlfn.XLOOKUP(_xlfn.XLOOKUP(A5,'Hiring Velocity'!$A$2:$A$21,'Hiring Velocity'!$E$2:$E$21),$J$20:$J$22,$K$20:$K$22,0)</f>
        <v>30</v>
      </c>
      <c r="F5">
        <f>ROUND(0.5*E5 + 0.5*D5,0)</f>
        <v>39</v>
      </c>
      <c r="K5" s="10" t="s">
        <v>28</v>
      </c>
      <c r="L5" s="10">
        <v>95</v>
      </c>
      <c r="M5" s="10" t="s">
        <v>329</v>
      </c>
    </row>
    <row r="6" spans="1:13" x14ac:dyDescent="0.3">
      <c r="A6" t="str">
        <v>FlexiLoans</v>
      </c>
      <c r="B6">
        <f>COUNTIF('JobsPikr Raw Data'!B:B, A6)</f>
        <v>6</v>
      </c>
      <c r="C6" s="9" cm="1">
        <f t="array" ref="C6">AVERAGE(IF('JobsPikr Raw Data'!$B$2:$B$131=$A6,_xlfn.XLOOKUP('JobsPikr Raw Data'!$D$2:$D$131,$K$5:$K$11,$L$5:$L$11,40),""))</f>
        <v>63.333333333333336</v>
      </c>
      <c r="D6" s="13">
        <f t="shared" si="0"/>
        <v>63</v>
      </c>
      <c r="E6">
        <f>_xlfn.XLOOKUP(_xlfn.XLOOKUP(A6,'Hiring Velocity'!$A$2:$A$21,'Hiring Velocity'!$E$2:$E$21),$J$20:$J$22,$K$20:$K$22,0)</f>
        <v>30</v>
      </c>
      <c r="F6">
        <f>ROUND(0.5*E6 + 0.5*D6,0)</f>
        <v>47</v>
      </c>
      <c r="K6" s="10" t="s">
        <v>20</v>
      </c>
      <c r="L6" s="10">
        <v>90</v>
      </c>
      <c r="M6" s="10" t="s">
        <v>330</v>
      </c>
    </row>
    <row r="7" spans="1:13" x14ac:dyDescent="0.3">
      <c r="A7" t="str">
        <v>Jupiter</v>
      </c>
      <c r="B7">
        <f>COUNTIF('JobsPikr Raw Data'!B:B, A7)</f>
        <v>8</v>
      </c>
      <c r="C7" s="9" cm="1">
        <f t="array" ref="C7">AVERAGE(IF('JobsPikr Raw Data'!$B$2:$B$131=$A7,_xlfn.XLOOKUP('JobsPikr Raw Data'!$D$2:$D$131,$K$5:$K$11,$L$5:$L$11,40),""))</f>
        <v>85</v>
      </c>
      <c r="D7" s="13">
        <f t="shared" si="0"/>
        <v>85</v>
      </c>
      <c r="E7">
        <f>_xlfn.XLOOKUP(_xlfn.XLOOKUP(A7,'Hiring Velocity'!$A$2:$A$21,'Hiring Velocity'!$E$2:$E$21),$J$20:$J$22,$K$20:$K$22,0)</f>
        <v>100</v>
      </c>
      <c r="F7">
        <f>ROUND(0.5*E7 + 0.5*D7,0)</f>
        <v>93</v>
      </c>
      <c r="K7" s="10" t="s">
        <v>33</v>
      </c>
      <c r="L7" s="10">
        <v>85</v>
      </c>
      <c r="M7" s="10" t="s">
        <v>331</v>
      </c>
    </row>
    <row r="8" spans="1:13" x14ac:dyDescent="0.3">
      <c r="A8" t="str">
        <v>KreditBee</v>
      </c>
      <c r="B8">
        <f>COUNTIF('JobsPikr Raw Data'!B:B, A8)</f>
        <v>5</v>
      </c>
      <c r="C8" s="9" cm="1">
        <f t="array" ref="C8">AVERAGE(IF('JobsPikr Raw Data'!$B$2:$B$131=$A8,_xlfn.XLOOKUP('JobsPikr Raw Data'!$D$2:$D$131,$K$5:$K$11,$L$5:$L$11,40),""))</f>
        <v>73</v>
      </c>
      <c r="D8" s="13">
        <f t="shared" si="0"/>
        <v>73</v>
      </c>
      <c r="E8">
        <f>_xlfn.XLOOKUP(_xlfn.XLOOKUP(A8,'Hiring Velocity'!$A$2:$A$21,'Hiring Velocity'!$E$2:$E$21),$J$20:$J$22,$K$20:$K$22,0)</f>
        <v>70</v>
      </c>
      <c r="F8">
        <f>ROUND(0.5*E8 + 0.5*D8,0)</f>
        <v>72</v>
      </c>
      <c r="K8" s="10" t="s">
        <v>51</v>
      </c>
      <c r="L8" s="10">
        <v>80</v>
      </c>
      <c r="M8" s="10" t="s">
        <v>336</v>
      </c>
    </row>
    <row r="9" spans="1:13" x14ac:dyDescent="0.3">
      <c r="A9" t="str">
        <v>Lendingkart</v>
      </c>
      <c r="B9">
        <f>COUNTIF('JobsPikr Raw Data'!B:B, A9)</f>
        <v>5</v>
      </c>
      <c r="C9" s="9" cm="1">
        <f t="array" ref="C9">AVERAGE(IF('JobsPikr Raw Data'!$B$2:$B$131=$A9,_xlfn.XLOOKUP('JobsPikr Raw Data'!$D$2:$D$131,$K$5:$K$11,$L$5:$L$11,40),""))</f>
        <v>72</v>
      </c>
      <c r="D9" s="13">
        <f t="shared" si="0"/>
        <v>72</v>
      </c>
      <c r="E9">
        <f>_xlfn.XLOOKUP(_xlfn.XLOOKUP(A9,'Hiring Velocity'!$A$2:$A$21,'Hiring Velocity'!$E$2:$E$21),$J$20:$J$22,$K$20:$K$22,0)</f>
        <v>70</v>
      </c>
      <c r="F9">
        <f>ROUND(0.5*E9 + 0.5*D9,0)</f>
        <v>71</v>
      </c>
      <c r="K9" s="10" t="s">
        <v>70</v>
      </c>
      <c r="L9" s="10">
        <v>75</v>
      </c>
      <c r="M9" s="10" t="s">
        <v>332</v>
      </c>
    </row>
    <row r="10" spans="1:13" x14ac:dyDescent="0.3">
      <c r="A10" t="str">
        <v>MobiKwik</v>
      </c>
      <c r="B10">
        <f>COUNTIF('JobsPikr Raw Data'!B:B, A10)</f>
        <v>5</v>
      </c>
      <c r="C10" s="9" cm="1">
        <f t="array" ref="C10">AVERAGE(IF('JobsPikr Raw Data'!$B$2:$B$131=$A10,_xlfn.XLOOKUP('JobsPikr Raw Data'!$D$2:$D$131,$K$5:$K$11,$L$5:$L$11,40),""))</f>
        <v>53</v>
      </c>
      <c r="D10" s="13">
        <f t="shared" si="0"/>
        <v>53</v>
      </c>
      <c r="E10">
        <f>_xlfn.XLOOKUP(_xlfn.XLOOKUP(A10,'Hiring Velocity'!$A$2:$A$21,'Hiring Velocity'!$E$2:$E$21),$J$20:$J$22,$K$20:$K$22,0)</f>
        <v>30</v>
      </c>
      <c r="F10">
        <f>ROUND(0.5*E10 + 0.5*D10,0)</f>
        <v>42</v>
      </c>
      <c r="K10" s="10" t="s">
        <v>56</v>
      </c>
      <c r="L10" s="10">
        <v>60</v>
      </c>
      <c r="M10" s="10" t="s">
        <v>333</v>
      </c>
    </row>
    <row r="11" spans="1:13" x14ac:dyDescent="0.3">
      <c r="A11" t="str">
        <v>MoneyTap</v>
      </c>
      <c r="B11">
        <f>COUNTIF('JobsPikr Raw Data'!B:B, A11)</f>
        <v>5</v>
      </c>
      <c r="C11" s="9" cm="1">
        <f t="array" ref="C11">AVERAGE(IF('JobsPikr Raw Data'!$B$2:$B$131=$A11,_xlfn.XLOOKUP('JobsPikr Raw Data'!$D$2:$D$131,$K$5:$K$11,$L$5:$L$11,40),""))</f>
        <v>73</v>
      </c>
      <c r="D11" s="13">
        <f t="shared" si="0"/>
        <v>73</v>
      </c>
      <c r="E11">
        <f>_xlfn.XLOOKUP(_xlfn.XLOOKUP(A11,'Hiring Velocity'!$A$2:$A$21,'Hiring Velocity'!$E$2:$E$21),$J$20:$J$22,$K$20:$K$22,0)</f>
        <v>70</v>
      </c>
      <c r="F11">
        <f>ROUND(0.5*E11 + 0.5*D11,0)</f>
        <v>72</v>
      </c>
      <c r="K11" t="s">
        <v>12</v>
      </c>
      <c r="L11" s="10">
        <v>40</v>
      </c>
      <c r="M11" t="s">
        <v>334</v>
      </c>
    </row>
    <row r="12" spans="1:13" x14ac:dyDescent="0.3">
      <c r="A12" t="str">
        <v>Navi</v>
      </c>
      <c r="B12">
        <f>COUNTIF('JobsPikr Raw Data'!B:B, A12)</f>
        <v>12</v>
      </c>
      <c r="C12" s="9" cm="1">
        <f t="array" ref="C12">AVERAGE(IF('JobsPikr Raw Data'!$B$2:$B$131=$A12,_xlfn.XLOOKUP('JobsPikr Raw Data'!$D$2:$D$131,$K$5:$K$11,$L$5:$L$11,40),""))</f>
        <v>82.5</v>
      </c>
      <c r="D12" s="13">
        <f t="shared" si="0"/>
        <v>83</v>
      </c>
      <c r="E12">
        <f>_xlfn.XLOOKUP(_xlfn.XLOOKUP(A12,'Hiring Velocity'!$A$2:$A$21,'Hiring Velocity'!$E$2:$E$21),$J$20:$J$22,$K$20:$K$22,0)</f>
        <v>100</v>
      </c>
      <c r="F12">
        <f>ROUND(0.5*E12 + 0.5*D12,0)</f>
        <v>92</v>
      </c>
    </row>
    <row r="13" spans="1:13" x14ac:dyDescent="0.3">
      <c r="A13" t="str">
        <v>Open</v>
      </c>
      <c r="B13">
        <f>COUNTIF('JobsPikr Raw Data'!B:B, A13)</f>
        <v>5</v>
      </c>
      <c r="C13" s="9" cm="1">
        <f t="array" ref="C13">AVERAGE(IF('JobsPikr Raw Data'!$B$2:$B$131=$A13,_xlfn.XLOOKUP('JobsPikr Raw Data'!$D$2:$D$131,$K$5:$K$11,$L$5:$L$11,40),""))</f>
        <v>77</v>
      </c>
      <c r="D13" s="13">
        <f t="shared" si="0"/>
        <v>77</v>
      </c>
      <c r="E13">
        <f>_xlfn.XLOOKUP(_xlfn.XLOOKUP(A13,'Hiring Velocity'!$A$2:$A$21,'Hiring Velocity'!$E$2:$E$21),$J$20:$J$22,$K$20:$K$22,0)</f>
        <v>70</v>
      </c>
      <c r="F13">
        <f>ROUND(0.5*E13 + 0.5*D13,0)</f>
        <v>74</v>
      </c>
    </row>
    <row r="14" spans="1:13" x14ac:dyDescent="0.3">
      <c r="A14" t="str">
        <v>Paytm</v>
      </c>
      <c r="B14">
        <f>COUNTIF('JobsPikr Raw Data'!B:B, A14)</f>
        <v>6</v>
      </c>
      <c r="C14" s="9" cm="1">
        <f t="array" ref="C14">AVERAGE(IF('JobsPikr Raw Data'!$B$2:$B$131=$A14,_xlfn.XLOOKUP('JobsPikr Raw Data'!$D$2:$D$131,$K$5:$K$11,$L$5:$L$11,40),""))</f>
        <v>65</v>
      </c>
      <c r="D14" s="13">
        <f t="shared" si="0"/>
        <v>65</v>
      </c>
      <c r="E14">
        <f>_xlfn.XLOOKUP(_xlfn.XLOOKUP(A14,'Hiring Velocity'!$A$2:$A$21,'Hiring Velocity'!$E$2:$E$21),$J$20:$J$22,$K$20:$K$22,0)</f>
        <v>30</v>
      </c>
      <c r="F14">
        <f>ROUND(0.5*E14 + 0.5*D14,0)</f>
        <v>48</v>
      </c>
    </row>
    <row r="15" spans="1:13" x14ac:dyDescent="0.3">
      <c r="A15" t="str">
        <v>PhonePe</v>
      </c>
      <c r="B15">
        <f>COUNTIF('JobsPikr Raw Data'!B:B, A15)</f>
        <v>5</v>
      </c>
      <c r="C15" s="9" cm="1">
        <f t="array" ref="C15">AVERAGE(IF('JobsPikr Raw Data'!$B$2:$B$131=$A15,_xlfn.XLOOKUP('JobsPikr Raw Data'!$D$2:$D$131,$K$5:$K$11,$L$5:$L$11,40),""))</f>
        <v>80</v>
      </c>
      <c r="D15" s="13">
        <f t="shared" si="0"/>
        <v>80</v>
      </c>
      <c r="E15">
        <f>_xlfn.XLOOKUP(_xlfn.XLOOKUP(A15,'Hiring Velocity'!$A$2:$A$21,'Hiring Velocity'!$E$2:$E$21),$J$20:$J$22,$K$20:$K$22,0)</f>
        <v>70</v>
      </c>
      <c r="F15">
        <f>ROUND(0.5*E15 + 0.5*D15,0)</f>
        <v>75</v>
      </c>
    </row>
    <row r="16" spans="1:13" x14ac:dyDescent="0.3">
      <c r="A16" t="str">
        <v>Pine Labs</v>
      </c>
      <c r="B16">
        <f>COUNTIF('JobsPikr Raw Data'!B:B, A16)</f>
        <v>8</v>
      </c>
      <c r="C16" s="9" cm="1">
        <f t="array" ref="C16">AVERAGE(IF('JobsPikr Raw Data'!$B$2:$B$131=$A16,_xlfn.XLOOKUP('JobsPikr Raw Data'!$D$2:$D$131,$K$5:$K$11,$L$5:$L$11,40),""))</f>
        <v>83.125</v>
      </c>
      <c r="D16" s="13">
        <f t="shared" si="0"/>
        <v>83</v>
      </c>
      <c r="E16">
        <f>_xlfn.XLOOKUP(_xlfn.XLOOKUP(A16,'Hiring Velocity'!$A$2:$A$21,'Hiring Velocity'!$E$2:$E$21),$J$20:$J$22,$K$20:$K$22,0)</f>
        <v>100</v>
      </c>
      <c r="F16">
        <f>ROUND(0.5*E16 + 0.5*D16,0)</f>
        <v>92</v>
      </c>
    </row>
    <row r="17" spans="1:11" x14ac:dyDescent="0.3">
      <c r="A17" t="str">
        <v>Razorpay</v>
      </c>
      <c r="B17">
        <f>COUNTIF('JobsPikr Raw Data'!B:B, A17)</f>
        <v>13</v>
      </c>
      <c r="C17" s="9" cm="1">
        <f t="array" ref="C17">AVERAGE(IF('JobsPikr Raw Data'!$B$2:$B$131=$A17,_xlfn.XLOOKUP('JobsPikr Raw Data'!$D$2:$D$131,$K$5:$K$11,$L$5:$L$11,40),""))</f>
        <v>85</v>
      </c>
      <c r="D17" s="13">
        <f t="shared" si="0"/>
        <v>85</v>
      </c>
      <c r="E17">
        <f>_xlfn.XLOOKUP(_xlfn.XLOOKUP(A17,'Hiring Velocity'!$A$2:$A$21,'Hiring Velocity'!$E$2:$E$21),$J$20:$J$22,$K$20:$K$22,0)</f>
        <v>100</v>
      </c>
      <c r="F17">
        <f>ROUND(0.5*E17 + 0.5*D17,0)</f>
        <v>93</v>
      </c>
    </row>
    <row r="18" spans="1:11" ht="15.6" x14ac:dyDescent="0.3">
      <c r="A18" t="str">
        <v>Simpl</v>
      </c>
      <c r="B18">
        <f>COUNTIF('JobsPikr Raw Data'!B:B, A18)</f>
        <v>5</v>
      </c>
      <c r="C18" s="9" cm="1">
        <f t="array" ref="C18">AVERAGE(IF('JobsPikr Raw Data'!$B$2:$B$131=$A18,_xlfn.XLOOKUP('JobsPikr Raw Data'!$D$2:$D$131,$K$5:$K$11,$L$5:$L$11,40),""))</f>
        <v>62</v>
      </c>
      <c r="D18" s="13">
        <f t="shared" si="0"/>
        <v>62</v>
      </c>
      <c r="E18">
        <f>_xlfn.XLOOKUP(_xlfn.XLOOKUP(A18,'Hiring Velocity'!$A$2:$A$21,'Hiring Velocity'!$E$2:$E$21),$J$20:$J$22,$K$20:$K$22,0)</f>
        <v>30</v>
      </c>
      <c r="F18">
        <f>ROUND(0.5*E18 + 0.5*D18,0)</f>
        <v>46</v>
      </c>
      <c r="J18" s="14" t="s">
        <v>341</v>
      </c>
      <c r="K18" s="14"/>
    </row>
    <row r="19" spans="1:11" ht="15.6" x14ac:dyDescent="0.3">
      <c r="A19" t="str">
        <v>Slice</v>
      </c>
      <c r="B19">
        <f>COUNTIF('JobsPikr Raw Data'!B:B, A19)</f>
        <v>5</v>
      </c>
      <c r="C19" s="9" cm="1">
        <f t="array" ref="C19">AVERAGE(IF('JobsPikr Raw Data'!$B$2:$B$131=$A19,_xlfn.XLOOKUP('JobsPikr Raw Data'!$D$2:$D$131,$K$5:$K$11,$L$5:$L$11,40),""))</f>
        <v>66</v>
      </c>
      <c r="D19" s="13">
        <f t="shared" si="0"/>
        <v>66</v>
      </c>
      <c r="E19">
        <f>_xlfn.XLOOKUP(_xlfn.XLOOKUP(A19,'Hiring Velocity'!$A$2:$A$21,'Hiring Velocity'!$E$2:$E$21),$J$20:$J$22,$K$20:$K$22,0)</f>
        <v>70</v>
      </c>
      <c r="F19">
        <f>ROUND(0.5*E19 + 0.5*D19,0)</f>
        <v>68</v>
      </c>
      <c r="J19" s="5" t="s">
        <v>322</v>
      </c>
      <c r="K19" s="5" t="s">
        <v>337</v>
      </c>
    </row>
    <row r="20" spans="1:11" x14ac:dyDescent="0.3">
      <c r="A20" t="str">
        <v>Uni Cards</v>
      </c>
      <c r="B20">
        <f>COUNTIF('JobsPikr Raw Data'!B:B, A20)</f>
        <v>5</v>
      </c>
      <c r="C20" s="9" cm="1">
        <f t="array" ref="C20">AVERAGE(IF('JobsPikr Raw Data'!$B$2:$B$131=$A20,_xlfn.XLOOKUP('JobsPikr Raw Data'!$D$2:$D$131,$K$5:$K$11,$L$5:$L$11,40),""))</f>
        <v>66</v>
      </c>
      <c r="D20" s="13">
        <f t="shared" si="0"/>
        <v>66</v>
      </c>
      <c r="E20">
        <f>_xlfn.XLOOKUP(_xlfn.XLOOKUP(A20,'Hiring Velocity'!$A$2:$A$21,'Hiring Velocity'!$E$2:$E$21),$J$20:$J$22,$K$20:$K$22,0)</f>
        <v>70</v>
      </c>
      <c r="F20">
        <f>ROUND(0.5*E20 + 0.5*D20,0)</f>
        <v>68</v>
      </c>
      <c r="J20" s="10" t="s">
        <v>338</v>
      </c>
      <c r="K20" s="10">
        <v>100</v>
      </c>
    </row>
    <row r="21" spans="1:11" x14ac:dyDescent="0.3">
      <c r="A21" t="str">
        <v>ZestMoney</v>
      </c>
      <c r="B21">
        <f>COUNTIF('JobsPikr Raw Data'!B:B, A21)</f>
        <v>6</v>
      </c>
      <c r="C21" s="9" cm="1">
        <f t="array" ref="C21">AVERAGE(IF('JobsPikr Raw Data'!$B$2:$B$131=$A21,_xlfn.XLOOKUP('JobsPikr Raw Data'!$D$2:$D$131,$K$5:$K$11,$L$5:$L$11,40),""))</f>
        <v>63.333333333333336</v>
      </c>
      <c r="D21" s="13">
        <f t="shared" si="0"/>
        <v>63</v>
      </c>
      <c r="E21">
        <f>_xlfn.XLOOKUP(_xlfn.XLOOKUP(A21,'Hiring Velocity'!$A$2:$A$21,'Hiring Velocity'!$E$2:$E$21),$J$20:$J$22,$K$20:$K$22,0)</f>
        <v>30</v>
      </c>
      <c r="F21">
        <f>ROUND(0.5*E21 + 0.5*D21,0)</f>
        <v>47</v>
      </c>
      <c r="J21" s="10" t="s">
        <v>339</v>
      </c>
      <c r="K21" s="10">
        <v>70</v>
      </c>
    </row>
    <row r="22" spans="1:11" x14ac:dyDescent="0.3">
      <c r="J22" s="10" t="s">
        <v>340</v>
      </c>
      <c r="K22" s="10">
        <v>30</v>
      </c>
    </row>
    <row r="26" spans="1:11" x14ac:dyDescent="0.3">
      <c r="J26" s="15" t="s">
        <v>344</v>
      </c>
      <c r="K26" s="15"/>
    </row>
    <row r="27" spans="1:11" x14ac:dyDescent="0.3">
      <c r="J27" s="16" t="s">
        <v>343</v>
      </c>
      <c r="K27" s="16"/>
    </row>
  </sheetData>
  <sortState xmlns:xlrd2="http://schemas.microsoft.com/office/spreadsheetml/2017/richdata2" ref="E2:E30">
    <sortCondition descending="1" ref="E1:E30"/>
  </sortState>
  <mergeCells count="3">
    <mergeCell ref="J18:K18"/>
    <mergeCell ref="J26:K26"/>
    <mergeCell ref="J27:K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JobsPikr Raw Data</vt:lpstr>
      <vt:lpstr>Hiring Velocity</vt:lpstr>
      <vt:lpstr>Strategic Focus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Viresh Kumar</cp:lastModifiedBy>
  <dcterms:created xsi:type="dcterms:W3CDTF">2026-02-04T12:21:55Z</dcterms:created>
  <dcterms:modified xsi:type="dcterms:W3CDTF">2026-02-05T06:31:02Z</dcterms:modified>
</cp:coreProperties>
</file>